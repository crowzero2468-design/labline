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\Downloads\"/>
    </mc:Choice>
  </mc:AlternateContent>
  <xr:revisionPtr revIDLastSave="0" documentId="8_{66ED4371-5B65-441E-908D-3A59C9734291}" xr6:coauthVersionLast="47" xr6:coauthVersionMax="47" xr10:uidLastSave="{00000000-0000-0000-0000-000000000000}"/>
  <bookViews>
    <workbookView xWindow="-120" yWindow="-120" windowWidth="29040" windowHeight="15720" xr2:uid="{73CA941C-364A-4EC8-82E6-9781A4B08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9" i="1" l="1" a="1"/>
  <c r="B369" i="1"/>
  <c r="A369" i="1"/>
  <c r="E368" i="1" a="1"/>
  <c r="B368" i="1"/>
  <c r="A368" i="1"/>
  <c r="E367" i="1" a="1"/>
  <c r="B367" i="1"/>
  <c r="A367" i="1"/>
  <c r="E366" i="1" a="1"/>
  <c r="B366" i="1"/>
  <c r="A366" i="1"/>
  <c r="E365" i="1" a="1"/>
  <c r="B365" i="1"/>
  <c r="A365" i="1"/>
  <c r="E364" i="1" a="1"/>
  <c r="B364" i="1"/>
  <c r="A364" i="1"/>
  <c r="E363" i="1" a="1"/>
  <c r="B363" i="1"/>
  <c r="A363" i="1"/>
  <c r="E362" i="1" a="1"/>
  <c r="B362" i="1"/>
  <c r="A362" i="1"/>
  <c r="E361" i="1" a="1"/>
  <c r="B361" i="1"/>
  <c r="A361" i="1"/>
  <c r="E360" i="1" a="1"/>
  <c r="B360" i="1"/>
  <c r="A360" i="1"/>
  <c r="E359" i="1" a="1"/>
  <c r="B359" i="1"/>
  <c r="A359" i="1"/>
  <c r="E358" i="1" a="1"/>
  <c r="B358" i="1"/>
  <c r="A358" i="1"/>
  <c r="E357" i="1" a="1"/>
  <c r="B357" i="1"/>
  <c r="A357" i="1"/>
  <c r="E356" i="1" a="1"/>
  <c r="B356" i="1"/>
  <c r="A356" i="1"/>
  <c r="E355" i="1" a="1"/>
  <c r="B355" i="1"/>
  <c r="A355" i="1"/>
  <c r="E354" i="1" a="1"/>
  <c r="B354" i="1"/>
  <c r="A354" i="1"/>
  <c r="E353" i="1" a="1"/>
  <c r="B353" i="1"/>
  <c r="A353" i="1"/>
  <c r="E352" i="1" a="1"/>
  <c r="B352" i="1"/>
  <c r="A352" i="1"/>
  <c r="E351" i="1" a="1"/>
  <c r="B351" i="1"/>
  <c r="A351" i="1"/>
  <c r="E350" i="1" a="1"/>
  <c r="B350" i="1"/>
  <c r="A350" i="1"/>
  <c r="E349" i="1" a="1"/>
  <c r="B349" i="1"/>
  <c r="A349" i="1"/>
  <c r="E348" i="1" a="1"/>
  <c r="B348" i="1"/>
  <c r="A348" i="1"/>
  <c r="E347" i="1" a="1"/>
  <c r="B347" i="1"/>
  <c r="A347" i="1"/>
  <c r="E346" i="1" a="1"/>
  <c r="B346" i="1"/>
  <c r="A346" i="1"/>
  <c r="E345" i="1" a="1"/>
  <c r="B345" i="1"/>
  <c r="A345" i="1"/>
  <c r="E344" i="1" a="1"/>
  <c r="B344" i="1"/>
  <c r="A344" i="1"/>
  <c r="E343" i="1" a="1"/>
  <c r="B343" i="1"/>
  <c r="A343" i="1"/>
  <c r="E342" i="1" a="1"/>
  <c r="B342" i="1"/>
  <c r="A342" i="1"/>
  <c r="E341" i="1" a="1"/>
  <c r="B341" i="1"/>
  <c r="A341" i="1"/>
  <c r="E340" i="1" a="1"/>
  <c r="B340" i="1"/>
  <c r="A340" i="1"/>
  <c r="E339" i="1" a="1"/>
  <c r="B339" i="1"/>
  <c r="A339" i="1"/>
  <c r="E338" i="1" a="1"/>
  <c r="B338" i="1"/>
  <c r="A338" i="1"/>
  <c r="E337" i="1" a="1"/>
  <c r="B337" i="1"/>
  <c r="A337" i="1"/>
  <c r="E336" i="1" a="1"/>
  <c r="B336" i="1"/>
  <c r="A336" i="1"/>
  <c r="E335" i="1" a="1"/>
  <c r="B335" i="1"/>
  <c r="A335" i="1"/>
  <c r="E334" i="1" a="1"/>
  <c r="B334" i="1"/>
  <c r="A334" i="1"/>
  <c r="E333" i="1" a="1"/>
  <c r="B333" i="1"/>
  <c r="A333" i="1"/>
  <c r="E332" i="1" a="1"/>
  <c r="B332" i="1"/>
  <c r="A332" i="1"/>
  <c r="E331" i="1" a="1"/>
  <c r="B331" i="1"/>
  <c r="A331" i="1"/>
  <c r="E330" i="1" a="1"/>
  <c r="B330" i="1"/>
  <c r="A330" i="1"/>
  <c r="E329" i="1" a="1"/>
  <c r="B329" i="1"/>
  <c r="A329" i="1"/>
  <c r="E328" i="1" a="1"/>
  <c r="B328" i="1"/>
  <c r="A328" i="1"/>
  <c r="E327" i="1" a="1"/>
  <c r="B327" i="1"/>
  <c r="A327" i="1"/>
  <c r="E326" i="1" a="1"/>
  <c r="B326" i="1"/>
  <c r="A326" i="1"/>
  <c r="E325" i="1" a="1"/>
  <c r="B325" i="1"/>
  <c r="A325" i="1"/>
  <c r="E324" i="1" a="1"/>
  <c r="B324" i="1"/>
  <c r="A324" i="1"/>
  <c r="E323" i="1" a="1"/>
  <c r="B323" i="1"/>
  <c r="A323" i="1"/>
  <c r="E322" i="1" a="1"/>
  <c r="B322" i="1"/>
  <c r="A322" i="1"/>
  <c r="E321" i="1" a="1"/>
  <c r="B321" i="1"/>
  <c r="A321" i="1"/>
  <c r="E320" i="1" a="1"/>
  <c r="B320" i="1"/>
  <c r="A320" i="1"/>
  <c r="E319" i="1" a="1"/>
  <c r="B319" i="1"/>
  <c r="A319" i="1"/>
  <c r="E318" i="1" a="1"/>
  <c r="B318" i="1"/>
  <c r="A318" i="1"/>
  <c r="E317" i="1" a="1"/>
  <c r="B317" i="1"/>
  <c r="A317" i="1"/>
  <c r="E316" i="1" a="1"/>
  <c r="B316" i="1"/>
  <c r="A316" i="1"/>
  <c r="E315" i="1" a="1"/>
  <c r="B315" i="1"/>
  <c r="A315" i="1"/>
  <c r="E314" i="1" a="1"/>
  <c r="B314" i="1"/>
  <c r="A314" i="1"/>
  <c r="E313" i="1" a="1"/>
  <c r="B313" i="1"/>
  <c r="A313" i="1"/>
  <c r="E312" i="1" a="1"/>
  <c r="B312" i="1"/>
  <c r="A312" i="1"/>
  <c r="E311" i="1" a="1"/>
  <c r="B311" i="1"/>
  <c r="A311" i="1"/>
  <c r="E310" i="1" a="1"/>
  <c r="B310" i="1"/>
  <c r="A310" i="1"/>
  <c r="E309" i="1" a="1"/>
  <c r="B309" i="1"/>
  <c r="A309" i="1"/>
  <c r="E308" i="1" a="1"/>
  <c r="B308" i="1"/>
  <c r="A308" i="1"/>
  <c r="E307" i="1" a="1"/>
  <c r="B307" i="1"/>
  <c r="A307" i="1"/>
  <c r="E306" i="1" a="1"/>
  <c r="B306" i="1"/>
  <c r="A306" i="1"/>
  <c r="E305" i="1" a="1"/>
  <c r="B305" i="1"/>
  <c r="A305" i="1"/>
  <c r="E304" i="1" a="1"/>
  <c r="B304" i="1"/>
  <c r="A304" i="1"/>
  <c r="E303" i="1" a="1"/>
  <c r="B303" i="1"/>
  <c r="A303" i="1"/>
  <c r="E302" i="1" a="1"/>
  <c r="B302" i="1"/>
  <c r="A302" i="1"/>
  <c r="E301" i="1" a="1"/>
  <c r="B301" i="1"/>
  <c r="A301" i="1"/>
  <c r="E300" i="1" a="1"/>
  <c r="B300" i="1"/>
  <c r="A300" i="1"/>
  <c r="E299" i="1" a="1"/>
  <c r="B299" i="1"/>
  <c r="A299" i="1"/>
  <c r="E298" i="1" a="1"/>
  <c r="B298" i="1"/>
  <c r="A298" i="1"/>
  <c r="E297" i="1" a="1"/>
  <c r="B297" i="1"/>
  <c r="A297" i="1"/>
  <c r="E296" i="1" a="1"/>
  <c r="B296" i="1"/>
  <c r="A296" i="1"/>
  <c r="E295" i="1" a="1"/>
  <c r="B295" i="1"/>
  <c r="A295" i="1"/>
  <c r="E294" i="1" a="1"/>
  <c r="B294" i="1"/>
  <c r="A294" i="1"/>
  <c r="E293" i="1" a="1"/>
  <c r="B293" i="1"/>
  <c r="A293" i="1"/>
  <c r="E292" i="1" a="1"/>
  <c r="B292" i="1"/>
  <c r="A292" i="1"/>
  <c r="E291" i="1" a="1"/>
  <c r="B291" i="1"/>
  <c r="A291" i="1"/>
  <c r="E290" i="1" a="1"/>
  <c r="B290" i="1"/>
  <c r="A290" i="1"/>
  <c r="E289" i="1" a="1"/>
  <c r="B289" i="1"/>
  <c r="A289" i="1"/>
  <c r="E288" i="1" a="1"/>
  <c r="B288" i="1"/>
  <c r="A288" i="1"/>
  <c r="E287" i="1" a="1"/>
  <c r="B287" i="1"/>
  <c r="A287" i="1"/>
  <c r="E286" i="1" a="1"/>
  <c r="B286" i="1"/>
  <c r="A286" i="1"/>
  <c r="E285" i="1" a="1"/>
  <c r="B285" i="1"/>
  <c r="A285" i="1"/>
  <c r="E284" i="1" a="1"/>
  <c r="B284" i="1"/>
  <c r="A284" i="1"/>
  <c r="E283" i="1" a="1"/>
  <c r="B283" i="1"/>
  <c r="A283" i="1"/>
  <c r="E282" i="1" a="1"/>
  <c r="B282" i="1"/>
  <c r="A282" i="1"/>
  <c r="E281" i="1" a="1"/>
  <c r="B281" i="1"/>
  <c r="A281" i="1"/>
  <c r="E280" i="1" a="1"/>
  <c r="B280" i="1"/>
  <c r="A280" i="1"/>
  <c r="E279" i="1" a="1"/>
  <c r="B279" i="1"/>
  <c r="A279" i="1"/>
  <c r="E278" i="1" a="1"/>
  <c r="B278" i="1"/>
  <c r="A278" i="1"/>
  <c r="E277" i="1" a="1"/>
  <c r="B277" i="1"/>
  <c r="A277" i="1"/>
  <c r="E276" i="1" a="1"/>
  <c r="B276" i="1"/>
  <c r="A276" i="1"/>
  <c r="E275" i="1" a="1"/>
  <c r="B275" i="1"/>
  <c r="A275" i="1"/>
  <c r="E274" i="1" a="1"/>
  <c r="B274" i="1"/>
  <c r="A274" i="1"/>
  <c r="E273" i="1" a="1"/>
  <c r="B273" i="1"/>
  <c r="A273" i="1"/>
  <c r="E272" i="1" a="1"/>
  <c r="B272" i="1"/>
  <c r="A272" i="1"/>
  <c r="E271" i="1" a="1"/>
  <c r="B271" i="1"/>
  <c r="A271" i="1"/>
  <c r="E270" i="1" a="1"/>
  <c r="B270" i="1"/>
  <c r="A270" i="1"/>
  <c r="E269" i="1" a="1"/>
  <c r="B269" i="1"/>
  <c r="A269" i="1"/>
  <c r="E268" i="1" a="1"/>
  <c r="B268" i="1"/>
  <c r="A268" i="1"/>
  <c r="E267" i="1" a="1"/>
  <c r="B267" i="1"/>
  <c r="A267" i="1"/>
  <c r="E266" i="1" a="1"/>
  <c r="B266" i="1"/>
  <c r="A266" i="1"/>
  <c r="E265" i="1" a="1"/>
  <c r="B265" i="1"/>
  <c r="A265" i="1"/>
  <c r="E264" i="1" a="1"/>
  <c r="B264" i="1"/>
  <c r="A264" i="1"/>
  <c r="E263" i="1" a="1"/>
  <c r="B263" i="1"/>
  <c r="A263" i="1"/>
  <c r="E262" i="1" a="1"/>
  <c r="B262" i="1"/>
  <c r="A262" i="1"/>
  <c r="E261" i="1" a="1"/>
  <c r="B261" i="1"/>
  <c r="A261" i="1"/>
  <c r="E260" i="1" a="1"/>
  <c r="B260" i="1"/>
  <c r="A260" i="1"/>
  <c r="E259" i="1" a="1"/>
  <c r="B259" i="1"/>
  <c r="A259" i="1"/>
  <c r="E258" i="1" a="1"/>
  <c r="B258" i="1"/>
  <c r="A258" i="1"/>
  <c r="E257" i="1" a="1"/>
  <c r="B257" i="1"/>
  <c r="A257" i="1"/>
  <c r="E256" i="1" a="1"/>
  <c r="B256" i="1"/>
  <c r="A256" i="1"/>
  <c r="E255" i="1" a="1"/>
  <c r="B255" i="1"/>
  <c r="A255" i="1"/>
  <c r="E254" i="1" a="1"/>
  <c r="B254" i="1"/>
  <c r="A254" i="1"/>
  <c r="E253" i="1" a="1"/>
  <c r="B253" i="1"/>
  <c r="A253" i="1"/>
  <c r="E252" i="1" a="1"/>
  <c r="B252" i="1"/>
  <c r="A252" i="1"/>
  <c r="E251" i="1" a="1"/>
  <c r="B251" i="1"/>
  <c r="A251" i="1"/>
  <c r="E250" i="1" a="1"/>
  <c r="B250" i="1"/>
  <c r="A250" i="1"/>
  <c r="E249" i="1" a="1"/>
  <c r="B249" i="1"/>
  <c r="A249" i="1"/>
  <c r="E248" i="1" a="1"/>
  <c r="B248" i="1"/>
  <c r="A248" i="1"/>
  <c r="E247" i="1" a="1"/>
  <c r="B247" i="1"/>
  <c r="A247" i="1"/>
  <c r="E246" i="1" a="1"/>
  <c r="B246" i="1"/>
  <c r="A246" i="1"/>
  <c r="E245" i="1" a="1"/>
  <c r="B245" i="1"/>
  <c r="A245" i="1"/>
  <c r="E244" i="1" a="1"/>
  <c r="B244" i="1"/>
  <c r="A244" i="1"/>
  <c r="E243" i="1" a="1"/>
  <c r="B243" i="1"/>
  <c r="A243" i="1"/>
  <c r="E242" i="1" a="1"/>
  <c r="B242" i="1"/>
  <c r="A242" i="1"/>
  <c r="E241" i="1" a="1"/>
  <c r="B241" i="1"/>
  <c r="A241" i="1"/>
  <c r="E240" i="1" a="1"/>
  <c r="B240" i="1"/>
  <c r="A240" i="1"/>
  <c r="E239" i="1" a="1"/>
  <c r="B239" i="1"/>
  <c r="A239" i="1"/>
  <c r="E238" i="1" a="1"/>
  <c r="B238" i="1"/>
  <c r="A238" i="1"/>
  <c r="E237" i="1" a="1"/>
  <c r="B237" i="1"/>
  <c r="A237" i="1"/>
  <c r="E236" i="1" a="1"/>
  <c r="B236" i="1"/>
  <c r="A236" i="1"/>
  <c r="E235" i="1" a="1"/>
  <c r="B235" i="1"/>
  <c r="A235" i="1"/>
  <c r="E234" i="1" a="1"/>
  <c r="B234" i="1"/>
  <c r="A234" i="1"/>
  <c r="E233" i="1" a="1"/>
  <c r="B233" i="1"/>
  <c r="A233" i="1"/>
  <c r="E232" i="1" a="1"/>
  <c r="B232" i="1"/>
  <c r="A232" i="1"/>
  <c r="E231" i="1" a="1"/>
  <c r="B231" i="1"/>
  <c r="A231" i="1"/>
  <c r="E230" i="1" a="1"/>
  <c r="B230" i="1"/>
  <c r="A230" i="1"/>
  <c r="E229" i="1" a="1"/>
  <c r="B229" i="1"/>
  <c r="A229" i="1"/>
  <c r="E228" i="1" a="1"/>
  <c r="B228" i="1"/>
  <c r="A228" i="1"/>
  <c r="E227" i="1" a="1"/>
  <c r="B227" i="1"/>
  <c r="A227" i="1"/>
  <c r="E226" i="1" a="1"/>
  <c r="B226" i="1"/>
  <c r="A226" i="1"/>
  <c r="E225" i="1" a="1"/>
  <c r="B225" i="1"/>
  <c r="A225" i="1"/>
  <c r="E224" i="1" a="1"/>
  <c r="B224" i="1"/>
  <c r="A224" i="1"/>
  <c r="E223" i="1" a="1"/>
  <c r="B223" i="1"/>
  <c r="A223" i="1"/>
  <c r="E222" i="1" a="1"/>
  <c r="B222" i="1"/>
  <c r="A222" i="1"/>
  <c r="E221" i="1" a="1"/>
  <c r="B221" i="1"/>
  <c r="A221" i="1"/>
  <c r="E220" i="1" a="1"/>
  <c r="B220" i="1"/>
  <c r="A220" i="1"/>
  <c r="E219" i="1" a="1"/>
  <c r="B219" i="1"/>
  <c r="A219" i="1"/>
  <c r="E218" i="1" a="1"/>
  <c r="B218" i="1"/>
  <c r="A218" i="1"/>
  <c r="E217" i="1" a="1"/>
  <c r="B217" i="1"/>
  <c r="A217" i="1"/>
  <c r="E216" i="1" a="1"/>
  <c r="B216" i="1"/>
  <c r="A216" i="1"/>
  <c r="E215" i="1" a="1"/>
  <c r="B215" i="1"/>
  <c r="A215" i="1"/>
  <c r="E214" i="1" a="1"/>
  <c r="B214" i="1"/>
  <c r="A214" i="1"/>
  <c r="E213" i="1" a="1"/>
  <c r="B213" i="1"/>
  <c r="A213" i="1"/>
  <c r="E212" i="1" a="1"/>
  <c r="B212" i="1"/>
  <c r="A212" i="1"/>
  <c r="E211" i="1" a="1"/>
  <c r="B211" i="1"/>
  <c r="A211" i="1"/>
  <c r="E210" i="1" a="1"/>
  <c r="B210" i="1"/>
  <c r="A210" i="1"/>
  <c r="E209" i="1" a="1"/>
  <c r="B209" i="1"/>
  <c r="A209" i="1"/>
  <c r="E208" i="1" a="1"/>
  <c r="B208" i="1"/>
  <c r="A208" i="1"/>
  <c r="E207" i="1" a="1"/>
  <c r="B207" i="1"/>
  <c r="A207" i="1"/>
  <c r="E206" i="1" a="1"/>
  <c r="B206" i="1"/>
  <c r="A206" i="1"/>
  <c r="E205" i="1" a="1"/>
  <c r="B205" i="1"/>
  <c r="A205" i="1"/>
  <c r="E204" i="1" a="1"/>
  <c r="B204" i="1"/>
  <c r="A204" i="1"/>
  <c r="E203" i="1" a="1"/>
  <c r="B203" i="1"/>
  <c r="A203" i="1"/>
  <c r="E202" i="1" a="1"/>
  <c r="B202" i="1"/>
  <c r="A202" i="1"/>
  <c r="E201" i="1" a="1"/>
  <c r="B201" i="1"/>
  <c r="A201" i="1"/>
  <c r="E200" i="1" a="1"/>
  <c r="B200" i="1"/>
  <c r="A200" i="1"/>
  <c r="E199" i="1" a="1"/>
  <c r="B199" i="1"/>
  <c r="A199" i="1"/>
  <c r="E198" i="1" a="1"/>
  <c r="B198" i="1"/>
  <c r="A198" i="1"/>
  <c r="E197" i="1" a="1"/>
  <c r="B197" i="1"/>
  <c r="A197" i="1"/>
  <c r="E196" i="1" a="1"/>
  <c r="B196" i="1"/>
  <c r="A196" i="1"/>
  <c r="E195" i="1" a="1"/>
  <c r="B195" i="1"/>
  <c r="A195" i="1"/>
  <c r="E194" i="1" a="1"/>
  <c r="B194" i="1"/>
  <c r="A194" i="1"/>
  <c r="E193" i="1" a="1"/>
  <c r="B193" i="1"/>
  <c r="A193" i="1"/>
  <c r="E192" i="1" a="1"/>
  <c r="B192" i="1"/>
  <c r="A192" i="1"/>
  <c r="E191" i="1" a="1"/>
  <c r="B191" i="1"/>
  <c r="A191" i="1"/>
  <c r="E190" i="1" a="1"/>
  <c r="B190" i="1"/>
  <c r="A190" i="1"/>
  <c r="E189" i="1" a="1"/>
  <c r="B189" i="1"/>
  <c r="A189" i="1"/>
  <c r="E188" i="1" a="1"/>
  <c r="B188" i="1"/>
  <c r="A188" i="1"/>
  <c r="E187" i="1" a="1"/>
  <c r="B187" i="1"/>
  <c r="A187" i="1"/>
  <c r="E186" i="1" a="1"/>
  <c r="B186" i="1"/>
  <c r="A186" i="1"/>
  <c r="E185" i="1" a="1"/>
  <c r="B185" i="1"/>
  <c r="A185" i="1"/>
  <c r="E184" i="1" a="1"/>
  <c r="B184" i="1"/>
  <c r="A184" i="1"/>
  <c r="E183" i="1" a="1"/>
  <c r="B183" i="1"/>
  <c r="A183" i="1"/>
  <c r="E182" i="1" a="1"/>
  <c r="B182" i="1"/>
  <c r="A182" i="1"/>
  <c r="E181" i="1" a="1"/>
  <c r="B181" i="1"/>
  <c r="A181" i="1"/>
  <c r="E180" i="1" a="1"/>
  <c r="B180" i="1"/>
  <c r="A180" i="1"/>
  <c r="E179" i="1" a="1"/>
  <c r="B179" i="1"/>
  <c r="A179" i="1"/>
  <c r="E178" i="1" a="1"/>
  <c r="B178" i="1"/>
  <c r="A178" i="1"/>
  <c r="E177" i="1" a="1"/>
  <c r="B177" i="1"/>
  <c r="A177" i="1"/>
  <c r="E176" i="1" a="1"/>
  <c r="B176" i="1"/>
  <c r="A176" i="1"/>
  <c r="E175" i="1" a="1"/>
  <c r="E174" i="1" a="1"/>
  <c r="B174" i="1"/>
  <c r="A174" i="1"/>
  <c r="E173" i="1" a="1"/>
  <c r="B173" i="1"/>
  <c r="A173" i="1"/>
  <c r="E172" i="1" a="1"/>
  <c r="B172" i="1"/>
  <c r="A172" i="1"/>
  <c r="E171" i="1" a="1"/>
  <c r="B171" i="1"/>
  <c r="A171" i="1"/>
  <c r="E170" i="1" a="1"/>
  <c r="B170" i="1"/>
  <c r="A170" i="1"/>
  <c r="E169" i="1" a="1"/>
  <c r="B169" i="1"/>
  <c r="A169" i="1"/>
  <c r="E168" i="1" a="1"/>
  <c r="B168" i="1"/>
  <c r="A168" i="1"/>
  <c r="E167" i="1" a="1"/>
  <c r="B167" i="1"/>
  <c r="A167" i="1"/>
  <c r="E166" i="1" a="1"/>
  <c r="B166" i="1"/>
  <c r="A166" i="1"/>
  <c r="E165" i="1" a="1"/>
  <c r="B165" i="1"/>
  <c r="A165" i="1"/>
  <c r="E164" i="1" a="1"/>
  <c r="B164" i="1"/>
  <c r="A164" i="1"/>
  <c r="E163" i="1" a="1"/>
  <c r="B163" i="1"/>
  <c r="A163" i="1"/>
  <c r="E162" i="1" a="1"/>
  <c r="B162" i="1"/>
  <c r="A162" i="1"/>
  <c r="E161" i="1" a="1"/>
  <c r="B161" i="1"/>
  <c r="A161" i="1"/>
  <c r="E160" i="1" a="1"/>
  <c r="B160" i="1"/>
  <c r="A160" i="1"/>
  <c r="E159" i="1" a="1"/>
  <c r="B159" i="1"/>
  <c r="A159" i="1"/>
  <c r="E158" i="1" a="1"/>
  <c r="B158" i="1"/>
  <c r="A158" i="1"/>
  <c r="E157" i="1" a="1"/>
  <c r="B157" i="1"/>
  <c r="A157" i="1"/>
  <c r="E156" i="1" a="1"/>
  <c r="B156" i="1"/>
  <c r="A156" i="1"/>
  <c r="E155" i="1" a="1"/>
  <c r="B155" i="1"/>
  <c r="A155" i="1"/>
  <c r="E154" i="1" a="1"/>
  <c r="B154" i="1"/>
  <c r="A154" i="1"/>
  <c r="E153" i="1" a="1"/>
  <c r="B153" i="1"/>
  <c r="A153" i="1"/>
  <c r="E152" i="1" a="1"/>
  <c r="B152" i="1"/>
  <c r="A152" i="1"/>
  <c r="E151" i="1" a="1"/>
  <c r="B151" i="1"/>
  <c r="A151" i="1"/>
  <c r="E150" i="1" a="1"/>
  <c r="B150" i="1"/>
  <c r="A150" i="1"/>
  <c r="E149" i="1" a="1"/>
  <c r="B149" i="1"/>
  <c r="A149" i="1"/>
  <c r="E148" i="1" a="1"/>
  <c r="B148" i="1"/>
  <c r="A148" i="1"/>
  <c r="E147" i="1" a="1"/>
  <c r="B147" i="1"/>
  <c r="A147" i="1"/>
  <c r="E146" i="1" a="1"/>
  <c r="B146" i="1"/>
  <c r="A146" i="1"/>
  <c r="E145" i="1" a="1"/>
  <c r="B145" i="1"/>
  <c r="A145" i="1"/>
  <c r="E144" i="1" a="1"/>
  <c r="B144" i="1"/>
  <c r="A144" i="1"/>
  <c r="E143" i="1" a="1"/>
  <c r="B143" i="1"/>
  <c r="A143" i="1"/>
  <c r="E142" i="1" a="1"/>
  <c r="B142" i="1"/>
  <c r="A142" i="1"/>
  <c r="E141" i="1" a="1"/>
  <c r="B141" i="1"/>
  <c r="A141" i="1"/>
  <c r="E140" i="1" a="1"/>
  <c r="B140" i="1"/>
  <c r="A140" i="1"/>
  <c r="E139" i="1" a="1"/>
  <c r="B139" i="1"/>
  <c r="A139" i="1"/>
  <c r="E138" i="1" a="1"/>
  <c r="B138" i="1"/>
  <c r="A138" i="1"/>
  <c r="E137" i="1" a="1"/>
  <c r="B137" i="1"/>
  <c r="A137" i="1"/>
  <c r="E136" i="1" a="1"/>
  <c r="B136" i="1"/>
  <c r="A136" i="1"/>
  <c r="E135" i="1" a="1"/>
  <c r="B135" i="1"/>
  <c r="A135" i="1"/>
  <c r="E134" i="1" a="1"/>
  <c r="B134" i="1"/>
  <c r="A134" i="1"/>
  <c r="E133" i="1" a="1"/>
  <c r="B133" i="1"/>
  <c r="A133" i="1"/>
  <c r="E132" i="1" a="1"/>
  <c r="B132" i="1"/>
  <c r="A132" i="1"/>
  <c r="E131" i="1" a="1"/>
  <c r="B131" i="1"/>
  <c r="A131" i="1"/>
  <c r="E130" i="1" a="1"/>
  <c r="B130" i="1"/>
  <c r="A130" i="1"/>
  <c r="E129" i="1" a="1"/>
  <c r="B129" i="1"/>
  <c r="A129" i="1"/>
  <c r="E128" i="1" a="1"/>
  <c r="B128" i="1"/>
  <c r="A128" i="1"/>
  <c r="E127" i="1" a="1"/>
  <c r="B127" i="1"/>
  <c r="A127" i="1"/>
  <c r="E126" i="1" a="1"/>
  <c r="B126" i="1"/>
  <c r="A126" i="1"/>
  <c r="E125" i="1" a="1"/>
  <c r="B125" i="1"/>
  <c r="A125" i="1"/>
  <c r="E124" i="1" a="1"/>
  <c r="B124" i="1"/>
  <c r="A124" i="1"/>
  <c r="E123" i="1" a="1"/>
  <c r="B123" i="1"/>
  <c r="A123" i="1"/>
  <c r="E122" i="1" a="1"/>
  <c r="B122" i="1"/>
  <c r="A122" i="1"/>
  <c r="E121" i="1" a="1"/>
  <c r="B121" i="1"/>
  <c r="A121" i="1"/>
  <c r="E120" i="1" a="1"/>
  <c r="B120" i="1"/>
  <c r="A120" i="1"/>
  <c r="E119" i="1" a="1"/>
  <c r="B119" i="1"/>
  <c r="A119" i="1"/>
  <c r="E118" i="1" a="1"/>
  <c r="B118" i="1"/>
  <c r="A118" i="1"/>
  <c r="E117" i="1" a="1"/>
  <c r="B117" i="1"/>
  <c r="A117" i="1"/>
  <c r="E116" i="1" a="1"/>
  <c r="B116" i="1"/>
  <c r="A116" i="1"/>
  <c r="E115" i="1" a="1"/>
  <c r="B115" i="1"/>
  <c r="A115" i="1"/>
  <c r="E114" i="1" a="1"/>
  <c r="B114" i="1"/>
  <c r="A114" i="1"/>
  <c r="E113" i="1" a="1"/>
  <c r="B113" i="1"/>
  <c r="A113" i="1"/>
  <c r="E112" i="1" a="1"/>
  <c r="B112" i="1"/>
  <c r="A112" i="1"/>
  <c r="E111" i="1" a="1"/>
  <c r="B111" i="1"/>
  <c r="A111" i="1"/>
  <c r="E110" i="1" a="1"/>
  <c r="B110" i="1"/>
  <c r="A110" i="1"/>
  <c r="E109" i="1" a="1"/>
  <c r="B109" i="1"/>
  <c r="A109" i="1"/>
  <c r="E108" i="1" a="1"/>
  <c r="B108" i="1"/>
  <c r="A108" i="1"/>
  <c r="E107" i="1" a="1"/>
  <c r="B107" i="1"/>
  <c r="A107" i="1"/>
  <c r="E106" i="1" a="1"/>
  <c r="B106" i="1"/>
  <c r="A106" i="1"/>
  <c r="E105" i="1" a="1"/>
  <c r="B105" i="1"/>
  <c r="A105" i="1"/>
  <c r="E104" i="1" a="1"/>
  <c r="B104" i="1"/>
  <c r="A104" i="1"/>
  <c r="E103" i="1" a="1"/>
  <c r="B103" i="1"/>
  <c r="A103" i="1"/>
  <c r="E102" i="1" a="1"/>
  <c r="B102" i="1"/>
  <c r="A102" i="1"/>
  <c r="E101" i="1" a="1"/>
  <c r="B101" i="1"/>
  <c r="A101" i="1"/>
  <c r="E100" i="1" a="1"/>
  <c r="B100" i="1"/>
  <c r="A100" i="1"/>
  <c r="E99" i="1" a="1"/>
  <c r="B99" i="1"/>
  <c r="A99" i="1"/>
  <c r="E98" i="1" a="1"/>
  <c r="B98" i="1"/>
  <c r="A98" i="1"/>
  <c r="E97" i="1" a="1"/>
  <c r="B97" i="1"/>
  <c r="A97" i="1"/>
  <c r="E96" i="1" a="1"/>
  <c r="B96" i="1"/>
  <c r="A96" i="1"/>
  <c r="E95" i="1" a="1"/>
  <c r="B95" i="1"/>
  <c r="A95" i="1"/>
  <c r="E94" i="1" a="1"/>
  <c r="B94" i="1"/>
  <c r="A94" i="1"/>
  <c r="E93" i="1" a="1"/>
  <c r="B93" i="1"/>
  <c r="A93" i="1"/>
  <c r="E92" i="1" a="1"/>
  <c r="B92" i="1"/>
  <c r="A92" i="1"/>
  <c r="E91" i="1" a="1"/>
  <c r="B91" i="1"/>
  <c r="A91" i="1"/>
  <c r="E90" i="1" a="1"/>
  <c r="B90" i="1"/>
  <c r="A90" i="1"/>
  <c r="E89" i="1" a="1"/>
  <c r="B89" i="1"/>
  <c r="A89" i="1"/>
  <c r="E88" i="1" a="1"/>
  <c r="B88" i="1"/>
  <c r="A88" i="1"/>
  <c r="E87" i="1" a="1"/>
  <c r="B87" i="1"/>
  <c r="A87" i="1"/>
  <c r="E86" i="1" a="1"/>
  <c r="B86" i="1"/>
  <c r="A86" i="1"/>
  <c r="E85" i="1" a="1"/>
  <c r="B85" i="1"/>
  <c r="A85" i="1"/>
  <c r="E84" i="1" a="1"/>
  <c r="B84" i="1"/>
  <c r="A84" i="1"/>
  <c r="E83" i="1" a="1"/>
  <c r="B83" i="1"/>
  <c r="A83" i="1"/>
  <c r="E82" i="1" a="1"/>
  <c r="B82" i="1"/>
  <c r="A82" i="1"/>
  <c r="E81" i="1" a="1"/>
  <c r="B81" i="1"/>
  <c r="A81" i="1"/>
  <c r="E80" i="1" a="1"/>
  <c r="B80" i="1"/>
  <c r="A80" i="1"/>
  <c r="E79" i="1" a="1"/>
  <c r="B79" i="1"/>
  <c r="A79" i="1"/>
  <c r="E78" i="1" a="1"/>
  <c r="B78" i="1"/>
  <c r="A78" i="1"/>
  <c r="E77" i="1" a="1"/>
  <c r="B77" i="1"/>
  <c r="A77" i="1"/>
  <c r="E76" i="1" a="1"/>
  <c r="B76" i="1"/>
  <c r="A76" i="1"/>
  <c r="E75" i="1" a="1"/>
  <c r="B75" i="1"/>
  <c r="A75" i="1"/>
  <c r="E74" i="1" a="1"/>
  <c r="B74" i="1"/>
  <c r="A74" i="1"/>
  <c r="E73" i="1" a="1"/>
  <c r="B73" i="1"/>
  <c r="A73" i="1"/>
  <c r="E72" i="1" a="1"/>
  <c r="B72" i="1"/>
  <c r="A72" i="1"/>
  <c r="E71" i="1" a="1"/>
  <c r="B71" i="1"/>
  <c r="A71" i="1"/>
  <c r="E70" i="1" a="1"/>
  <c r="B70" i="1"/>
  <c r="A70" i="1"/>
  <c r="E69" i="1" a="1"/>
  <c r="B69" i="1"/>
  <c r="A69" i="1"/>
  <c r="E68" i="1" a="1"/>
  <c r="B68" i="1"/>
  <c r="A68" i="1"/>
  <c r="E67" i="1" a="1"/>
  <c r="B67" i="1"/>
  <c r="A67" i="1"/>
  <c r="E66" i="1" a="1"/>
  <c r="B66" i="1"/>
  <c r="A66" i="1"/>
  <c r="E65" i="1" a="1"/>
  <c r="B65" i="1"/>
  <c r="A65" i="1"/>
  <c r="E64" i="1" a="1"/>
  <c r="B64" i="1"/>
  <c r="A64" i="1"/>
  <c r="E63" i="1" a="1"/>
  <c r="B63" i="1"/>
  <c r="A63" i="1"/>
  <c r="E62" i="1" a="1"/>
  <c r="B62" i="1"/>
  <c r="A62" i="1"/>
  <c r="E61" i="1" a="1"/>
  <c r="B61" i="1"/>
  <c r="A61" i="1"/>
  <c r="E60" i="1" a="1"/>
  <c r="B60" i="1"/>
  <c r="A60" i="1"/>
  <c r="E59" i="1" a="1"/>
  <c r="B59" i="1"/>
  <c r="A59" i="1"/>
  <c r="E58" i="1" a="1"/>
  <c r="B58" i="1"/>
  <c r="A58" i="1"/>
  <c r="E57" i="1" a="1"/>
  <c r="B57" i="1"/>
  <c r="A57" i="1"/>
  <c r="E56" i="1" a="1"/>
  <c r="B56" i="1"/>
  <c r="A56" i="1"/>
  <c r="E55" i="1" a="1"/>
  <c r="B55" i="1"/>
  <c r="A55" i="1"/>
  <c r="E54" i="1" a="1"/>
  <c r="B54" i="1"/>
  <c r="A54" i="1"/>
  <c r="E53" i="1" a="1"/>
  <c r="B53" i="1"/>
  <c r="A53" i="1"/>
  <c r="E52" i="1" a="1"/>
  <c r="B52" i="1"/>
  <c r="A52" i="1"/>
  <c r="E51" i="1" a="1"/>
  <c r="B51" i="1"/>
  <c r="A51" i="1"/>
  <c r="E50" i="1" a="1"/>
  <c r="B50" i="1"/>
  <c r="A50" i="1"/>
  <c r="E49" i="1" a="1"/>
  <c r="B49" i="1"/>
  <c r="A49" i="1"/>
  <c r="E48" i="1" a="1"/>
  <c r="B48" i="1"/>
  <c r="A48" i="1"/>
  <c r="E47" i="1" a="1"/>
  <c r="B47" i="1"/>
  <c r="A47" i="1"/>
  <c r="E46" i="1" a="1"/>
  <c r="B46" i="1"/>
  <c r="A46" i="1"/>
  <c r="E45" i="1" a="1"/>
  <c r="B45" i="1"/>
  <c r="A45" i="1"/>
  <c r="E44" i="1" a="1"/>
  <c r="B44" i="1"/>
  <c r="A44" i="1"/>
  <c r="E43" i="1" a="1"/>
  <c r="B43" i="1"/>
  <c r="A43" i="1"/>
  <c r="E42" i="1" a="1"/>
  <c r="B42" i="1"/>
  <c r="A42" i="1"/>
  <c r="E41" i="1" a="1"/>
  <c r="B41" i="1"/>
  <c r="A41" i="1"/>
  <c r="E40" i="1" a="1"/>
  <c r="B40" i="1"/>
  <c r="A40" i="1"/>
  <c r="E39" i="1" a="1"/>
  <c r="B39" i="1"/>
  <c r="A39" i="1"/>
  <c r="E38" i="1" a="1"/>
  <c r="B38" i="1"/>
  <c r="A38" i="1"/>
  <c r="E37" i="1" a="1"/>
  <c r="B37" i="1"/>
  <c r="A37" i="1"/>
  <c r="E36" i="1" a="1"/>
  <c r="B36" i="1"/>
  <c r="A36" i="1"/>
  <c r="E35" i="1" a="1"/>
  <c r="B35" i="1"/>
  <c r="A35" i="1"/>
  <c r="E34" i="1" a="1"/>
  <c r="B34" i="1"/>
  <c r="A34" i="1"/>
  <c r="E33" i="1" a="1"/>
  <c r="B33" i="1"/>
  <c r="A33" i="1"/>
  <c r="E32" i="1" a="1"/>
  <c r="B32" i="1"/>
  <c r="A32" i="1"/>
  <c r="E31" i="1" a="1"/>
  <c r="B31" i="1"/>
  <c r="A31" i="1"/>
  <c r="E30" i="1" a="1"/>
  <c r="B30" i="1"/>
  <c r="A30" i="1"/>
  <c r="E29" i="1" a="1"/>
  <c r="B29" i="1"/>
  <c r="A29" i="1"/>
  <c r="E28" i="1" a="1"/>
  <c r="B28" i="1"/>
  <c r="A28" i="1"/>
  <c r="E27" i="1" a="1"/>
  <c r="B27" i="1"/>
  <c r="A27" i="1"/>
  <c r="E26" i="1" a="1"/>
  <c r="B26" i="1"/>
  <c r="A26" i="1"/>
  <c r="E25" i="1" a="1"/>
  <c r="B25" i="1"/>
  <c r="A25" i="1"/>
  <c r="E24" i="1" a="1"/>
  <c r="B24" i="1"/>
  <c r="A24" i="1"/>
  <c r="E23" i="1" a="1"/>
  <c r="B23" i="1"/>
  <c r="A23" i="1"/>
  <c r="E22" i="1" a="1"/>
  <c r="B22" i="1"/>
  <c r="A22" i="1"/>
  <c r="E21" i="1" a="1"/>
  <c r="B21" i="1"/>
  <c r="A21" i="1"/>
  <c r="E20" i="1" a="1"/>
  <c r="B20" i="1"/>
  <c r="A20" i="1"/>
  <c r="E19" i="1" a="1"/>
  <c r="B19" i="1"/>
  <c r="A19" i="1"/>
  <c r="E18" i="1" a="1"/>
  <c r="B18" i="1"/>
  <c r="A18" i="1"/>
  <c r="E17" i="1" a="1"/>
  <c r="B17" i="1"/>
  <c r="A17" i="1"/>
  <c r="E16" i="1" a="1"/>
  <c r="B16" i="1"/>
  <c r="A16" i="1"/>
  <c r="E15" i="1" a="1"/>
  <c r="B15" i="1"/>
  <c r="A15" i="1"/>
  <c r="E14" i="1" a="1"/>
  <c r="B14" i="1"/>
  <c r="A14" i="1"/>
  <c r="E13" i="1" a="1"/>
  <c r="B13" i="1"/>
  <c r="A13" i="1"/>
  <c r="E12" i="1" a="1"/>
  <c r="B12" i="1"/>
  <c r="A12" i="1"/>
  <c r="E11" i="1" a="1"/>
  <c r="B11" i="1"/>
  <c r="A11" i="1"/>
  <c r="E10" i="1" a="1"/>
  <c r="B10" i="1"/>
  <c r="A10" i="1"/>
  <c r="E9" i="1" a="1"/>
  <c r="B9" i="1"/>
  <c r="A9" i="1"/>
  <c r="E8" i="1" a="1"/>
  <c r="B8" i="1"/>
  <c r="A8" i="1"/>
  <c r="E7" i="1" a="1"/>
  <c r="B7" i="1"/>
  <c r="A7" i="1"/>
  <c r="E6" i="1" a="1"/>
  <c r="B6" i="1"/>
  <c r="A6" i="1"/>
  <c r="E5" i="1" a="1"/>
  <c r="B5" i="1"/>
  <c r="A5" i="1"/>
  <c r="E4" i="1" a="1"/>
  <c r="B4" i="1"/>
  <c r="A4" i="1"/>
  <c r="E3" i="1" a="1"/>
  <c r="B3" i="1"/>
  <c r="A3" i="1"/>
  <c r="E2" i="1" a="1"/>
  <c r="B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 User</author>
    <author/>
  </authors>
  <commentList>
    <comment ref="F19" authorId="0" shapeId="0" xr:uid="{183B5659-E631-4852-B5F8-8CA415F8CF97}">
      <text>
        <r>
          <rPr>
            <b/>
            <sz val="9"/>
            <color indexed="81"/>
            <rFont val="Tahoma"/>
            <family val="2"/>
          </rPr>
          <t>Clinica animalia</t>
        </r>
      </text>
    </comment>
    <comment ref="F51" authorId="0" shapeId="0" xr:uid="{AC395D60-D9FD-4F77-9337-1FCF8E96077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Old Name Pawsabilities/ SVC</t>
        </r>
      </text>
    </comment>
    <comment ref="F57" authorId="0" shapeId="0" xr:uid="{E2231815-EA6D-4672-B738-934E250A8DD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90" authorId="0" shapeId="0" xr:uid="{2FFA6997-4F17-4F7F-9611-1EE8B039B905}">
      <text>
        <r>
          <rPr>
            <sz val="9"/>
            <color indexed="81"/>
            <rFont val="Tahoma"/>
            <family val="2"/>
          </rPr>
          <t xml:space="preserve">
Pet Dircetion Animal Health Care</t>
        </r>
      </text>
    </comment>
    <comment ref="F126" authorId="1" shapeId="0" xr:uid="{97217BA3-14DD-4B94-9322-83D2AA292618}">
      <text>
        <r>
          <rPr>
            <sz val="11"/>
            <color theme="1"/>
            <rFont val="Aptos Narrow"/>
            <family val="2"/>
            <scheme val="minor"/>
          </rPr>
          <t>======
ID#AAABkMkj7sc
Acer User    (2025-05-26 07:16:17)
Happy Tails Petcare Clinic
Former name</t>
        </r>
      </text>
    </comment>
    <comment ref="N229" authorId="1" shapeId="0" xr:uid="{6A6E8DA0-62C2-4E3A-9C66-108E64266010}">
      <text>
        <r>
          <rPr>
            <sz val="11"/>
            <color theme="1"/>
            <rFont val="Aptos Narrow"/>
            <family val="2"/>
            <scheme val="minor"/>
          </rPr>
          <t>======
ID#AAABkMkj7sg
Acer User    (2025-05-26 07:16:17)
Replacement SN:08B0909240801</t>
        </r>
      </text>
    </comment>
    <comment ref="I307" authorId="0" shapeId="0" xr:uid="{1DE99AF7-ACBD-4EA8-89C1-4F95A75D814C}">
      <text>
        <r>
          <rPr>
            <b/>
            <sz val="9"/>
            <color indexed="81"/>
            <rFont val="Tahoma"/>
            <family val="2"/>
          </rPr>
          <t>Acer User:</t>
        </r>
        <r>
          <rPr>
            <sz val="9"/>
            <color indexed="81"/>
            <rFont val="Tahoma"/>
            <family val="2"/>
          </rPr>
          <t xml:space="preserve">
09552560188 Morong bridgeway</t>
        </r>
      </text>
    </comment>
    <comment ref="P354" authorId="0" shapeId="0" xr:uid="{FFA027A6-637B-4D8D-B082-0888A7FB7CF3}">
      <text>
        <r>
          <rPr>
            <b/>
            <sz val="9"/>
            <color indexed="81"/>
            <rFont val="Tahoma"/>
            <family val="2"/>
          </rPr>
          <t>Acer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MC#930 FT BDO
REF#: 6D08P46AEEl0118
REF#: 20260408-14674174</t>
        </r>
      </text>
    </comment>
    <comment ref="P367" authorId="0" shapeId="0" xr:uid="{A3C7085A-3A86-4F08-8D82-539822BC825E}">
      <text>
        <r>
          <rPr>
            <b/>
            <sz val="9"/>
            <color indexed="81"/>
            <rFont val="Tahoma"/>
            <family val="2"/>
          </rPr>
          <t>Acer User:</t>
        </r>
        <r>
          <rPr>
            <sz val="9"/>
            <color indexed="81"/>
            <rFont val="Tahoma"/>
            <family val="2"/>
          </rPr>
          <t xml:space="preserve">
Balance DP 90K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<sst xmlns="http://schemas.openxmlformats.org/spreadsheetml/2006/main" count="3320" uniqueCount="1274">
  <si>
    <t>Year</t>
  </si>
  <si>
    <t>Month</t>
  </si>
  <si>
    <t>Date Installed</t>
  </si>
  <si>
    <t>DR Number</t>
  </si>
  <si>
    <t>Logistics Code</t>
  </si>
  <si>
    <t>Account Name</t>
  </si>
  <si>
    <t>Address</t>
  </si>
  <si>
    <t>Province</t>
  </si>
  <si>
    <t>Contact Person</t>
  </si>
  <si>
    <t>Contact Number</t>
  </si>
  <si>
    <t>Machine</t>
  </si>
  <si>
    <t>Model</t>
  </si>
  <si>
    <t>Warranty</t>
  </si>
  <si>
    <t>Serial No.</t>
  </si>
  <si>
    <t>TCP</t>
  </si>
  <si>
    <t xml:space="preserve">Downpayment </t>
  </si>
  <si>
    <t>Monthly Terms</t>
  </si>
  <si>
    <t>Inclusion</t>
  </si>
  <si>
    <t>Remarks</t>
  </si>
  <si>
    <t>Amazing Grace Diagnostic and Medical Services</t>
  </si>
  <si>
    <t>Ilagan City</t>
  </si>
  <si>
    <t>Isabela</t>
  </si>
  <si>
    <t>Hematology</t>
  </si>
  <si>
    <t>KT- 6400</t>
  </si>
  <si>
    <t>751208150934</t>
  </si>
  <si>
    <t>Animal Options Veterinary Clinic</t>
  </si>
  <si>
    <t>Tuguegarao City</t>
  </si>
  <si>
    <t>Cagayan</t>
  </si>
  <si>
    <t>KTVET-6180</t>
  </si>
  <si>
    <t>Isabela Animates Veterinary Clinic</t>
  </si>
  <si>
    <t>Cauayan City</t>
  </si>
  <si>
    <t>771027161510</t>
  </si>
  <si>
    <t>Regional Animal Disease Diagnostic Laboratory</t>
  </si>
  <si>
    <t>Clinica Animalia Veterinary Clinic</t>
  </si>
  <si>
    <t>AR 0041-2019</t>
  </si>
  <si>
    <t>Animedics Veterinary Clinic</t>
  </si>
  <si>
    <t>Bambang</t>
  </si>
  <si>
    <t>Nueva Vizcaya</t>
  </si>
  <si>
    <t>KTVET-6300</t>
  </si>
  <si>
    <t>1- lyse 500ml ; 1-Diluent 20L</t>
  </si>
  <si>
    <t>AR 0042- 2019</t>
  </si>
  <si>
    <t>Urban Fur Vet Clinic</t>
  </si>
  <si>
    <t xml:space="preserve">1- Lyse 500mL; 1 Diluent 20 L </t>
  </si>
  <si>
    <t>AR 0060- 2019</t>
  </si>
  <si>
    <t>Pet Terrific Veterinary Clinic</t>
  </si>
  <si>
    <t>Talavera</t>
  </si>
  <si>
    <t>Nueva Ecija</t>
  </si>
  <si>
    <t>AR 0074- 2019</t>
  </si>
  <si>
    <t>Waggie Tail Veterinary Clinic</t>
  </si>
  <si>
    <t>AR 0095- 2019</t>
  </si>
  <si>
    <t>Canine-Feline Veterinary Clinic/ Cape Bolinao Veterinary</t>
  </si>
  <si>
    <t>Alaminos City</t>
  </si>
  <si>
    <t>Pangasinan</t>
  </si>
  <si>
    <t>AR 0119- 2019</t>
  </si>
  <si>
    <t xml:space="preserve">Vets for Pets Animal Clinic </t>
  </si>
  <si>
    <t>Dingras</t>
  </si>
  <si>
    <t>Ilocos Norte</t>
  </si>
  <si>
    <t>0740827193878</t>
  </si>
  <si>
    <t>AR 0154- 2019</t>
  </si>
  <si>
    <t>Nose to Tail Veterinary Clinic</t>
  </si>
  <si>
    <t>Pozzorubio</t>
  </si>
  <si>
    <t>DR 160</t>
  </si>
  <si>
    <t>Primecare Animal Recovery Clinic</t>
  </si>
  <si>
    <t>San Fernando</t>
  </si>
  <si>
    <t>La Union</t>
  </si>
  <si>
    <t>4- lyse 500ml ; 4-Diluent 20L</t>
  </si>
  <si>
    <t>DR 162</t>
  </si>
  <si>
    <t>Tayug</t>
  </si>
  <si>
    <t>Xray</t>
  </si>
  <si>
    <t>Portable Xray</t>
  </si>
  <si>
    <t>Cash</t>
  </si>
  <si>
    <t>1-laptop</t>
  </si>
  <si>
    <t>DR 164</t>
  </si>
  <si>
    <t>AR Veterinary Clinic</t>
  </si>
  <si>
    <t>Tabuk City</t>
  </si>
  <si>
    <t>Kalinga</t>
  </si>
  <si>
    <t>0740628204422</t>
  </si>
  <si>
    <t>DR 175</t>
  </si>
  <si>
    <t>Chemistry</t>
  </si>
  <si>
    <t>CV5</t>
  </si>
  <si>
    <t>21999</t>
  </si>
  <si>
    <t>5 pcs HC; 5pcs PA</t>
  </si>
  <si>
    <t>DR 177</t>
  </si>
  <si>
    <t xml:space="preserve">  </t>
  </si>
  <si>
    <t>1 year</t>
  </si>
  <si>
    <t>0740727204523</t>
  </si>
  <si>
    <t>DR 232</t>
  </si>
  <si>
    <t>Daddy Doc Veterinary Clinic</t>
  </si>
  <si>
    <t>Cabatuan</t>
  </si>
  <si>
    <t>740727204524</t>
  </si>
  <si>
    <t>DR 184</t>
  </si>
  <si>
    <t>Ultrasound</t>
  </si>
  <si>
    <t>SS-9 Sonostar</t>
  </si>
  <si>
    <t>1 microconvex; 1 convex</t>
  </si>
  <si>
    <t>DR 193</t>
  </si>
  <si>
    <t>22084</t>
  </si>
  <si>
    <t>The Shepherd Vet Clinic/ Nose To tail Vet. Clinic</t>
  </si>
  <si>
    <t>Rosario</t>
  </si>
  <si>
    <t>0740828204551</t>
  </si>
  <si>
    <t>DR 207</t>
  </si>
  <si>
    <t>Solano</t>
  </si>
  <si>
    <t>DR 211</t>
  </si>
  <si>
    <t>Pets Place(Animedics) Veterinary Clinic</t>
  </si>
  <si>
    <t>Aritao</t>
  </si>
  <si>
    <t>0740828204562</t>
  </si>
  <si>
    <t>DR 213</t>
  </si>
  <si>
    <t>Vet Monitor</t>
  </si>
  <si>
    <t>Zetop</t>
  </si>
  <si>
    <t>DR 214</t>
  </si>
  <si>
    <t>22131</t>
  </si>
  <si>
    <t>1 box HC</t>
  </si>
  <si>
    <t>DR 224</t>
  </si>
  <si>
    <t>22117</t>
  </si>
  <si>
    <t>DR 228</t>
  </si>
  <si>
    <t>Animal Haven Veterinary Clinic</t>
  </si>
  <si>
    <t>La Trinidad</t>
  </si>
  <si>
    <t>Benguet</t>
  </si>
  <si>
    <t>22116</t>
  </si>
  <si>
    <t>1 box PA</t>
  </si>
  <si>
    <t>DR 235</t>
  </si>
  <si>
    <t>0741015204611</t>
  </si>
  <si>
    <t>DR 240</t>
  </si>
  <si>
    <t>22161</t>
  </si>
  <si>
    <t>DR 202</t>
  </si>
  <si>
    <t>JPecdaen Veterinary Clinic</t>
  </si>
  <si>
    <t>Tagum City</t>
  </si>
  <si>
    <t>Davao Del Norte</t>
  </si>
  <si>
    <t>22081</t>
  </si>
  <si>
    <t>10 pcs HC; 5pcs PA</t>
  </si>
  <si>
    <t>DR 259</t>
  </si>
  <si>
    <t>0740828204530</t>
  </si>
  <si>
    <t>DR 282</t>
  </si>
  <si>
    <t>Petmax Veterinary Clinic</t>
  </si>
  <si>
    <t>Agoo</t>
  </si>
  <si>
    <t>VH30</t>
  </si>
  <si>
    <t>0860108210997</t>
  </si>
  <si>
    <t>6- lyse 250mL; 8- Diluent 5L</t>
  </si>
  <si>
    <t>DR 289</t>
  </si>
  <si>
    <t>22295</t>
  </si>
  <si>
    <t>7 box HC; 1 box LK</t>
  </si>
  <si>
    <t>DR 302</t>
  </si>
  <si>
    <t>Pet Essentials Veterinary Clinic</t>
  </si>
  <si>
    <t>Binalonan</t>
  </si>
  <si>
    <t>0860223211086</t>
  </si>
  <si>
    <t>5- lyse 250mL; 5 Diluent 5L</t>
  </si>
  <si>
    <t>DR 310</t>
  </si>
  <si>
    <t>Laoag City</t>
  </si>
  <si>
    <t>22654</t>
  </si>
  <si>
    <t>4 HC; 1 PA; 2 LK</t>
  </si>
  <si>
    <t>DR 317</t>
  </si>
  <si>
    <t>BW-U6</t>
  </si>
  <si>
    <t>0121250115004N0004</t>
  </si>
  <si>
    <t>1 convex; 1 microconvex</t>
  </si>
  <si>
    <t>DR 323</t>
  </si>
  <si>
    <t>22676</t>
  </si>
  <si>
    <t>1 HC</t>
  </si>
  <si>
    <t>DR 353</t>
  </si>
  <si>
    <t>1 convex; 1 linear</t>
  </si>
  <si>
    <t>DR 404</t>
  </si>
  <si>
    <t>Aurora State College of Technology</t>
  </si>
  <si>
    <t>Maria Aurora</t>
  </si>
  <si>
    <t>Aurora</t>
  </si>
  <si>
    <t>08B0520211410</t>
  </si>
  <si>
    <t>1- lyse 250mL; 2 Diluent 5L</t>
  </si>
  <si>
    <t>DR 405</t>
  </si>
  <si>
    <t>22976</t>
  </si>
  <si>
    <t>1 LK</t>
  </si>
  <si>
    <t>DR 389</t>
  </si>
  <si>
    <t>Calasiao</t>
  </si>
  <si>
    <t>22987</t>
  </si>
  <si>
    <t>860520211414</t>
  </si>
  <si>
    <t>2- lyse 250mL; 2 Diluent 5L</t>
  </si>
  <si>
    <t>DR 423</t>
  </si>
  <si>
    <t>Echague</t>
  </si>
  <si>
    <t>0860603211458</t>
  </si>
  <si>
    <t>5- lyse 250mL; 4 Diluent 5L</t>
  </si>
  <si>
    <t>DR 433</t>
  </si>
  <si>
    <t>23189</t>
  </si>
  <si>
    <t>1 PA</t>
  </si>
  <si>
    <t>DR 453</t>
  </si>
  <si>
    <t>Roxas</t>
  </si>
  <si>
    <t>0860603211485</t>
  </si>
  <si>
    <t>2- lyse 250mL; 4 Diluent 5L</t>
  </si>
  <si>
    <t>DR 455</t>
  </si>
  <si>
    <t>DR 478</t>
  </si>
  <si>
    <t>Bagabag</t>
  </si>
  <si>
    <t>0860416200531</t>
  </si>
  <si>
    <t>AR 0019 - 2021</t>
  </si>
  <si>
    <t>Doc Jay Veterinary Clinic and Supply/ Jhay Vet. Clinic</t>
  </si>
  <si>
    <t>08B0818210036</t>
  </si>
  <si>
    <t>DR 489</t>
  </si>
  <si>
    <t>Buena Vida Animal Clinic</t>
  </si>
  <si>
    <t>Sta. Rosa</t>
  </si>
  <si>
    <t>08B0909240799</t>
  </si>
  <si>
    <t>AR 0035- 2021</t>
  </si>
  <si>
    <t>Capitol Veterinary Clinic</t>
  </si>
  <si>
    <t>Pampanga</t>
  </si>
  <si>
    <t>08B0818210037</t>
  </si>
  <si>
    <t>DR 494</t>
  </si>
  <si>
    <t>08B0915210052</t>
  </si>
  <si>
    <t>DR 505</t>
  </si>
  <si>
    <t>JMW Animal Clinic</t>
  </si>
  <si>
    <t xml:space="preserve">Cabagan </t>
  </si>
  <si>
    <t>08B0915210055</t>
  </si>
  <si>
    <t>DR 517</t>
  </si>
  <si>
    <t>Bulanao Veterinary Clinic</t>
  </si>
  <si>
    <t>08b0915210058</t>
  </si>
  <si>
    <t>DR 530</t>
  </si>
  <si>
    <t>Vet Connections Animal Clinic/ Noah's Ark Animal Clinic</t>
  </si>
  <si>
    <t>Cabanatuan/ Gapan</t>
  </si>
  <si>
    <t>08B1022210135</t>
  </si>
  <si>
    <t>1 20L Diluent; 1 5L Diluent; 1 500ml Lyse</t>
  </si>
  <si>
    <t>DR 573</t>
  </si>
  <si>
    <t>Faithful Friend Vet Clinic</t>
  </si>
  <si>
    <t>Baguio City</t>
  </si>
  <si>
    <t>08B0927210098</t>
  </si>
  <si>
    <t>DR 576</t>
  </si>
  <si>
    <t>Noble Pets Veterinary Clinic</t>
  </si>
  <si>
    <t>24246</t>
  </si>
  <si>
    <t>DR 006</t>
  </si>
  <si>
    <t>PetHealth Care Vet Clinic</t>
  </si>
  <si>
    <t>08B1022210117</t>
  </si>
  <si>
    <t>2 Diluent 5L,2Lyse 250ML,1 UPS/AVR,,1 Probe Cleanser,</t>
  </si>
  <si>
    <t>1Box health checking,1 Pcs Health Cheaking</t>
  </si>
  <si>
    <t>DR '082</t>
  </si>
  <si>
    <t>A_B Housevet Animal Clinic</t>
  </si>
  <si>
    <t>Olongapo City</t>
  </si>
  <si>
    <t>Zambales</t>
  </si>
  <si>
    <t>08B1022210132</t>
  </si>
  <si>
    <t>2 lyse 250 ml;4 Diluent 5L,1 probe cleanser</t>
  </si>
  <si>
    <t>DR 165</t>
  </si>
  <si>
    <t>Maple Vet Clini</t>
  </si>
  <si>
    <t>Guimba</t>
  </si>
  <si>
    <t>08B1230210178</t>
  </si>
  <si>
    <t>1 set lyse 250ml, 1 set diluent 5L,1 probe cleanser,1 UPS</t>
  </si>
  <si>
    <t>7 health Checking Profile</t>
  </si>
  <si>
    <t>DR 174</t>
  </si>
  <si>
    <t>Gopez Veterinary Clinic</t>
  </si>
  <si>
    <t>Arayat</t>
  </si>
  <si>
    <t>1 Year</t>
  </si>
  <si>
    <t>08B0416220218</t>
  </si>
  <si>
    <t>2 lyse250,4 diluent 5 L,1 Probe Cleanser, 1 UPS</t>
  </si>
  <si>
    <t>DR 234</t>
  </si>
  <si>
    <t>Urban Pets vet Clinic</t>
  </si>
  <si>
    <t>COD</t>
  </si>
  <si>
    <t>08B0416220219</t>
  </si>
  <si>
    <t>2 lyse 250, 4 diluent 5 L,,1 probe cleanser</t>
  </si>
  <si>
    <t>DR 194</t>
  </si>
  <si>
    <t>Pet Landia Animal Clinic</t>
  </si>
  <si>
    <t>Gen. Tinio</t>
  </si>
  <si>
    <t>08B0416220204</t>
  </si>
  <si>
    <t>2 lyse 250 ml, 4 diluent 5 L, 1 PC 50 ml,UPS/AVR</t>
  </si>
  <si>
    <t>DR196</t>
  </si>
  <si>
    <t>Francis Paul Benedict Vet Clinic</t>
  </si>
  <si>
    <t>Vigan City</t>
  </si>
  <si>
    <t>Ilocos Sur</t>
  </si>
  <si>
    <t>08B416220256</t>
  </si>
  <si>
    <t>DR 322</t>
  </si>
  <si>
    <t>Vet Grace Animal Clinic</t>
  </si>
  <si>
    <t>08B0416220209</t>
  </si>
  <si>
    <t>DR 327</t>
  </si>
  <si>
    <t>JC Paws &amp; Claws Veterinary Clinic</t>
  </si>
  <si>
    <t>Batac</t>
  </si>
  <si>
    <t>Jillianne Orpilla</t>
  </si>
  <si>
    <t>1 Health Checking, 1 UPS/AVR</t>
  </si>
  <si>
    <t>DR 346</t>
  </si>
  <si>
    <t>Bark Avenue Veterinary Clinic</t>
  </si>
  <si>
    <t>Nelfe Tagarian</t>
  </si>
  <si>
    <t>1 box HC, ups/avr</t>
  </si>
  <si>
    <t>DR 300</t>
  </si>
  <si>
    <t>Kho Veterinary Clinic</t>
  </si>
  <si>
    <t>Daet</t>
  </si>
  <si>
    <t>Camarines Norte</t>
  </si>
  <si>
    <t>Mark Dasal</t>
  </si>
  <si>
    <t>08B062S220277</t>
  </si>
  <si>
    <t>4 5l Diluent, 1 250mL Lyse, UPS AVR</t>
  </si>
  <si>
    <t>DR 245</t>
  </si>
  <si>
    <t>Doc Sharon Veterinary Clinic</t>
  </si>
  <si>
    <t>Doc Sharon Sagucio</t>
  </si>
  <si>
    <t>08B0628220259</t>
  </si>
  <si>
    <t>4- 5l Diluent, 2-250mL Lyse, 1 PC, Ups Avr</t>
  </si>
  <si>
    <t>DR 299</t>
  </si>
  <si>
    <t>Animal Aide Veterinary Supplies and Services</t>
  </si>
  <si>
    <t>Ozamis City</t>
  </si>
  <si>
    <t>Misamis Occidental</t>
  </si>
  <si>
    <t>Cristina Marrero</t>
  </si>
  <si>
    <t>DR 350</t>
  </si>
  <si>
    <t>Vet Next Door Animal Clinic</t>
  </si>
  <si>
    <t>Lupao</t>
  </si>
  <si>
    <t>Ecija</t>
  </si>
  <si>
    <t>08B0628220271</t>
  </si>
  <si>
    <t>DR 354</t>
  </si>
  <si>
    <t>The Pet Pro Veterinary Clinic</t>
  </si>
  <si>
    <t>Doc Eric</t>
  </si>
  <si>
    <t>DR 248</t>
  </si>
  <si>
    <t>AMD Pets and Vets Clinic</t>
  </si>
  <si>
    <t>San Fabian</t>
  </si>
  <si>
    <t>Allen Mae Doctolero</t>
  </si>
  <si>
    <t>08B0628220263</t>
  </si>
  <si>
    <t>DR 412</t>
  </si>
  <si>
    <t>Pet Central Veterinary Clinic</t>
  </si>
  <si>
    <t>San Isidro</t>
  </si>
  <si>
    <t>08B0628220273</t>
  </si>
  <si>
    <t>DR 416</t>
  </si>
  <si>
    <t>Jamel Vets and Furries Animal Clinic</t>
  </si>
  <si>
    <t>Botolan</t>
  </si>
  <si>
    <t>Doc Joan Niedo</t>
  </si>
  <si>
    <t>08B0628220272</t>
  </si>
  <si>
    <t>4- 5l Diluent, 2-250mL Lyse, 1 PC</t>
  </si>
  <si>
    <t>DR 419</t>
  </si>
  <si>
    <t>De Oro Pets Veterinary Clinic</t>
  </si>
  <si>
    <t>Nabunturan</t>
  </si>
  <si>
    <t>Davao De Oro</t>
  </si>
  <si>
    <t>Joy Pecdaen</t>
  </si>
  <si>
    <t>08B0628220276</t>
  </si>
  <si>
    <t>Velvet Animal Clinic</t>
  </si>
  <si>
    <t>Luna</t>
  </si>
  <si>
    <t>Nica Vengazo</t>
  </si>
  <si>
    <t>08B0628220275</t>
  </si>
  <si>
    <t>DR 506</t>
  </si>
  <si>
    <t>08b0628220274</t>
  </si>
  <si>
    <t>DR 438</t>
  </si>
  <si>
    <t>Pets Vetfriend Veterinary Clinic</t>
  </si>
  <si>
    <t>Aprille Memory Romulo</t>
  </si>
  <si>
    <t>08B0416220189</t>
  </si>
  <si>
    <t>DR 497</t>
  </si>
  <si>
    <t>Alicia Animal Clinic</t>
  </si>
  <si>
    <t>Alicia</t>
  </si>
  <si>
    <t>Winston Saet</t>
  </si>
  <si>
    <t>08B0416220191</t>
  </si>
  <si>
    <t>DR 499</t>
  </si>
  <si>
    <t>Paws and Claws Veterinary Clinic</t>
  </si>
  <si>
    <t>Camalaniugan</t>
  </si>
  <si>
    <t>Charmaine Talosig</t>
  </si>
  <si>
    <t>08B0628220256</t>
  </si>
  <si>
    <t>DR 554</t>
  </si>
  <si>
    <t>Aso at Pusa Veterinary Clinic</t>
  </si>
  <si>
    <t>Bangued</t>
  </si>
  <si>
    <t>Abra</t>
  </si>
  <si>
    <t>Beverlyn Crisologo</t>
  </si>
  <si>
    <t>08B0628220242</t>
  </si>
  <si>
    <t>DR 515</t>
  </si>
  <si>
    <t>Cherry Canceran</t>
  </si>
  <si>
    <t>M5 Vet</t>
  </si>
  <si>
    <t>1122943114CTOXN0003</t>
  </si>
  <si>
    <t>microconvex, medical printer</t>
  </si>
  <si>
    <t>DR 369</t>
  </si>
  <si>
    <t>Vet Connections Animal Clinic</t>
  </si>
  <si>
    <t>Cabanatuan</t>
  </si>
  <si>
    <t>Maricar Gaoyen</t>
  </si>
  <si>
    <t>DR V5</t>
  </si>
  <si>
    <t>2 year</t>
  </si>
  <si>
    <t>F05P5697</t>
  </si>
  <si>
    <t>Table, Printer, Film, PC</t>
  </si>
  <si>
    <t>DR 523</t>
  </si>
  <si>
    <t>Quirino Pet House</t>
  </si>
  <si>
    <t>Diffun</t>
  </si>
  <si>
    <t>Quirino</t>
  </si>
  <si>
    <t>JP Abenoja</t>
  </si>
  <si>
    <t>08B0628220247</t>
  </si>
  <si>
    <t>DR 617</t>
  </si>
  <si>
    <t>Pets Line Animal Clinic</t>
  </si>
  <si>
    <t>Mexico</t>
  </si>
  <si>
    <t>08B0813220302</t>
  </si>
  <si>
    <t>DR 652</t>
  </si>
  <si>
    <t>Winterfell Veterinary Clinic</t>
  </si>
  <si>
    <t>Bontoc</t>
  </si>
  <si>
    <t>Mountain Province</t>
  </si>
  <si>
    <t>Askley Dale Reyes</t>
  </si>
  <si>
    <t>08B0813220299</t>
  </si>
  <si>
    <t>8 - 5L Diluent, ,4 250ml lyse,1 pc , ups avr</t>
  </si>
  <si>
    <t>DR 629</t>
  </si>
  <si>
    <t>H22943114CTOXN0002</t>
  </si>
  <si>
    <t>1 microconvex; Medical Printer</t>
  </si>
  <si>
    <t>DR 635</t>
  </si>
  <si>
    <t>Pets Choice Veterinary Clinic</t>
  </si>
  <si>
    <t>Bauang</t>
  </si>
  <si>
    <t>Doc Allen Doctolero</t>
  </si>
  <si>
    <t>08B1017220329</t>
  </si>
  <si>
    <t>DR 390</t>
  </si>
  <si>
    <t>Bauang Vet Care Clinic</t>
  </si>
  <si>
    <t>08B1017220354</t>
  </si>
  <si>
    <t>DR 391</t>
  </si>
  <si>
    <t>Vet Tag Animal Clinic</t>
  </si>
  <si>
    <t>Solano/Bambang</t>
  </si>
  <si>
    <t>08B1017220336</t>
  </si>
  <si>
    <t>DR 637</t>
  </si>
  <si>
    <t>Doc Gregg Veterinary Clinic</t>
  </si>
  <si>
    <t>Gregg Sumalbag</t>
  </si>
  <si>
    <t>08B1017220340</t>
  </si>
  <si>
    <t>DR 540</t>
  </si>
  <si>
    <t>Joan Hernandez</t>
  </si>
  <si>
    <t>F05P56F4</t>
  </si>
  <si>
    <t>DR 543</t>
  </si>
  <si>
    <t>Divine Mae Balondo</t>
  </si>
  <si>
    <t>H229431146TOXN001</t>
  </si>
  <si>
    <t>DR 395</t>
  </si>
  <si>
    <t>Dumalsin Veterinary Clinic</t>
  </si>
  <si>
    <t>Anjo Dumalsin</t>
  </si>
  <si>
    <t>08B1017220367</t>
  </si>
  <si>
    <t>DR 397</t>
  </si>
  <si>
    <t>DR 547</t>
  </si>
  <si>
    <t>Solana Pets Veterinary Clinic</t>
  </si>
  <si>
    <t>Solana</t>
  </si>
  <si>
    <t>Jonelyn Cusipag</t>
  </si>
  <si>
    <t>08B1017220330</t>
  </si>
  <si>
    <t>DR 719</t>
  </si>
  <si>
    <t>Rosales</t>
  </si>
  <si>
    <t>Aprielle Lilew</t>
  </si>
  <si>
    <t>F05P571F</t>
  </si>
  <si>
    <t>Floor Mount, Withour Printer</t>
  </si>
  <si>
    <t>DR 807</t>
  </si>
  <si>
    <t>Jhay Veterinary Clinic</t>
  </si>
  <si>
    <t>John Carlo Tuazon</t>
  </si>
  <si>
    <t>1 Lk, 1 Hc</t>
  </si>
  <si>
    <t>DR 806</t>
  </si>
  <si>
    <t>Tumauini</t>
  </si>
  <si>
    <t>Dave Morillo</t>
  </si>
  <si>
    <t>08B1017220335</t>
  </si>
  <si>
    <t>DR 810</t>
  </si>
  <si>
    <t>Gilbert Mabazza</t>
  </si>
  <si>
    <t>DR 735</t>
  </si>
  <si>
    <t>Alpha Finn</t>
  </si>
  <si>
    <t>1 Hc</t>
  </si>
  <si>
    <t>DR 741</t>
  </si>
  <si>
    <t>Valley Vets Animal Clinic</t>
  </si>
  <si>
    <t>Arlene Corpuz</t>
  </si>
  <si>
    <t>08B1209220390</t>
  </si>
  <si>
    <t>DR 765</t>
  </si>
  <si>
    <t>Dr. Vien Veterinary Clinic</t>
  </si>
  <si>
    <t>San Marcelino</t>
  </si>
  <si>
    <t>Vienna Pagar</t>
  </si>
  <si>
    <t>08B1209220388</t>
  </si>
  <si>
    <t>DR 909</t>
  </si>
  <si>
    <t>Eric Hulipas</t>
  </si>
  <si>
    <t>08B1209220386</t>
  </si>
  <si>
    <t>DR 819</t>
  </si>
  <si>
    <t>Gayle Ramos</t>
  </si>
  <si>
    <t>F05P574D</t>
  </si>
  <si>
    <t>DR 821</t>
  </si>
  <si>
    <t>Eric Evangelista</t>
  </si>
  <si>
    <t>F05P574A</t>
  </si>
  <si>
    <t>DR 835</t>
  </si>
  <si>
    <t>DR 784</t>
  </si>
  <si>
    <t>Mustangs Veterinary Clinic</t>
  </si>
  <si>
    <t>San Jose</t>
  </si>
  <si>
    <t>Juliza Pec-ed</t>
  </si>
  <si>
    <t>08B1209220378</t>
  </si>
  <si>
    <t>DR 970</t>
  </si>
  <si>
    <t>RMMN Animal Clinic/ Family Vet Animal Clinic</t>
  </si>
  <si>
    <t>Baler/ La Trinidad</t>
  </si>
  <si>
    <t>Aurora/ Benguet</t>
  </si>
  <si>
    <t>Rio Ylar Madrid</t>
  </si>
  <si>
    <t>08B1208220389</t>
  </si>
  <si>
    <t>DR 838</t>
  </si>
  <si>
    <t>Evexia Veterinary Clinic</t>
  </si>
  <si>
    <t>Remi Casumpang</t>
  </si>
  <si>
    <t>08B1209220385</t>
  </si>
  <si>
    <t>DR 786</t>
  </si>
  <si>
    <t>Pawfessional Veterinary Clinic</t>
  </si>
  <si>
    <t>Rodriguez</t>
  </si>
  <si>
    <t>Rizal</t>
  </si>
  <si>
    <t>Awel Rombaoa</t>
  </si>
  <si>
    <t>08B1209220384</t>
  </si>
  <si>
    <t>DR 788</t>
  </si>
  <si>
    <t>Peninsula Veterinary Clinic</t>
  </si>
  <si>
    <t>Pilar</t>
  </si>
  <si>
    <t>Bataan</t>
  </si>
  <si>
    <t>Rizaldy John Calangin</t>
  </si>
  <si>
    <t>08B1209220377</t>
  </si>
  <si>
    <t>DR 847</t>
  </si>
  <si>
    <t>Pet Palisades Veterinary Clinic</t>
  </si>
  <si>
    <t>Jeffrey Niel Aquino</t>
  </si>
  <si>
    <t>08B1209220376</t>
  </si>
  <si>
    <t>DR 961</t>
  </si>
  <si>
    <t>Niedo's Animal Clinic</t>
  </si>
  <si>
    <t>Joadel Niedo</t>
  </si>
  <si>
    <t>F05P5754</t>
  </si>
  <si>
    <t>DR 963</t>
  </si>
  <si>
    <t>Pet Adventure Animal Clinic</t>
  </si>
  <si>
    <t>Sta Maria</t>
  </si>
  <si>
    <t>Bulacan</t>
  </si>
  <si>
    <t>Francis Earl Collera</t>
  </si>
  <si>
    <t>F05P5760</t>
  </si>
  <si>
    <t>DR 857</t>
  </si>
  <si>
    <t>Petfriends Veterinary Clinic</t>
  </si>
  <si>
    <t>Jhoana Umoso</t>
  </si>
  <si>
    <t>DR 1034</t>
  </si>
  <si>
    <t>08B0224230441</t>
  </si>
  <si>
    <t>DR 1033</t>
  </si>
  <si>
    <t>Dupax Del Norte</t>
  </si>
  <si>
    <t>Joyce Daguio</t>
  </si>
  <si>
    <t>08B0224230433</t>
  </si>
  <si>
    <t>DR 1041</t>
  </si>
  <si>
    <t>Urban Petcare Animal Clinic</t>
  </si>
  <si>
    <t>Lutgard Marie Oca</t>
  </si>
  <si>
    <t>08B0224230444</t>
  </si>
  <si>
    <t>DR 882</t>
  </si>
  <si>
    <t>Paws and Furs Animal Clinic</t>
  </si>
  <si>
    <t>Moncada</t>
  </si>
  <si>
    <t>Tarlac</t>
  </si>
  <si>
    <t>Au Nool</t>
  </si>
  <si>
    <t>08B0224230445</t>
  </si>
  <si>
    <t>DR 883</t>
  </si>
  <si>
    <t>Happy Tails Pet Care Clinic / Pampang Animal Clinic</t>
  </si>
  <si>
    <t>Angeles City</t>
  </si>
  <si>
    <t>Juliet Pineda</t>
  </si>
  <si>
    <t>08B0224230416</t>
  </si>
  <si>
    <t>DR 1105</t>
  </si>
  <si>
    <t>Movet Petcare Inc</t>
  </si>
  <si>
    <t>Rodolf Vincent B. Po</t>
  </si>
  <si>
    <t>DR 1265</t>
  </si>
  <si>
    <t>Bob Nobleza</t>
  </si>
  <si>
    <t>08B0427230493</t>
  </si>
  <si>
    <t>DR 1266</t>
  </si>
  <si>
    <t>D and R Dog Cat Clinic</t>
  </si>
  <si>
    <t>May Ann Jo Reyes</t>
  </si>
  <si>
    <t>08B0426230490</t>
  </si>
  <si>
    <t>DR 1267</t>
  </si>
  <si>
    <t>Manaoag Veterinary Clinic</t>
  </si>
  <si>
    <t>Manaoag</t>
  </si>
  <si>
    <t>Edwin Sison</t>
  </si>
  <si>
    <t>08B0427230492</t>
  </si>
  <si>
    <t>DR 1268</t>
  </si>
  <si>
    <t>Elyu Veterinary Clinic</t>
  </si>
  <si>
    <t>San Juan</t>
  </si>
  <si>
    <t>Ahmed Ali</t>
  </si>
  <si>
    <t>08B0427230487</t>
  </si>
  <si>
    <t>DR 1269</t>
  </si>
  <si>
    <t>Vetsquad Animal Clinic</t>
  </si>
  <si>
    <t>Pugo</t>
  </si>
  <si>
    <t>Krisley Balneg</t>
  </si>
  <si>
    <t>08B0427230491</t>
  </si>
  <si>
    <t>DR 1069</t>
  </si>
  <si>
    <t>Asingan</t>
  </si>
  <si>
    <t xml:space="preserve"> Joan Hernandez</t>
  </si>
  <si>
    <t>08B0427230488</t>
  </si>
  <si>
    <t>DR 1096</t>
  </si>
  <si>
    <t>Pet Alley Animal Clinic</t>
  </si>
  <si>
    <t>Ruth Carreon</t>
  </si>
  <si>
    <t>08B0427230489</t>
  </si>
  <si>
    <t>DR 1120</t>
  </si>
  <si>
    <t>Pets Life Vet Clinic</t>
  </si>
  <si>
    <t>Heidi Torio</t>
  </si>
  <si>
    <t>3 HC, ups avr</t>
  </si>
  <si>
    <t>DR 1173</t>
  </si>
  <si>
    <t>FMH Animal Clinic/ Tail buddy Animal Clinic</t>
  </si>
  <si>
    <t>Las Pinas City</t>
  </si>
  <si>
    <t>Metro Manila/ Batangas</t>
  </si>
  <si>
    <t>Fortunato Hernandez</t>
  </si>
  <si>
    <t>08B0427230467</t>
  </si>
  <si>
    <t>DR 1297</t>
  </si>
  <si>
    <t>Pet Medix Vet Clinic</t>
  </si>
  <si>
    <t>Red Manangan</t>
  </si>
  <si>
    <t>08B0427230460</t>
  </si>
  <si>
    <t>DR 1174</t>
  </si>
  <si>
    <t>RMC Veterinary Clinic</t>
  </si>
  <si>
    <t>San Mateo</t>
  </si>
  <si>
    <t>08B0427230474</t>
  </si>
  <si>
    <t>DR 1125</t>
  </si>
  <si>
    <t>Animal Corner Veterinary Clinic</t>
  </si>
  <si>
    <t>Santiago City</t>
  </si>
  <si>
    <t>Christopher Dela Cruz</t>
  </si>
  <si>
    <t>08B0427230480</t>
  </si>
  <si>
    <t>Urine Analyzer</t>
  </si>
  <si>
    <t>VU10</t>
  </si>
  <si>
    <t>MA21060090087</t>
  </si>
  <si>
    <t>30 Test 14 Parameter</t>
  </si>
  <si>
    <t>DR 1126</t>
  </si>
  <si>
    <t>Pet Vet Tumauini Animal Clinic</t>
  </si>
  <si>
    <t>Floriel Ramirez</t>
  </si>
  <si>
    <t>08B0427230471</t>
  </si>
  <si>
    <t>DR 1183</t>
  </si>
  <si>
    <t>Sta. Cruz</t>
  </si>
  <si>
    <t>08B0427230473</t>
  </si>
  <si>
    <t>Ma211000100012</t>
  </si>
  <si>
    <t>DR 1314</t>
  </si>
  <si>
    <t>Naki Veterinary Clinic</t>
  </si>
  <si>
    <t>Tagudin</t>
  </si>
  <si>
    <t>Roberlinda Lacasandile</t>
  </si>
  <si>
    <t>08B0427230472</t>
  </si>
  <si>
    <t>DR 1318</t>
  </si>
  <si>
    <t>Doc Hero Veterinary Clinic</t>
  </si>
  <si>
    <t>DR 1215</t>
  </si>
  <si>
    <t>Healmark Vet Services/ Vetwise Animal Clinic</t>
  </si>
  <si>
    <t>Tagudin/ Candon</t>
  </si>
  <si>
    <t>08B0706230545</t>
  </si>
  <si>
    <t>DR 1216</t>
  </si>
  <si>
    <t>Rural Vet Clinic</t>
  </si>
  <si>
    <t>Christian Deloso</t>
  </si>
  <si>
    <t>2 HC Plus</t>
  </si>
  <si>
    <t>DR 1218</t>
  </si>
  <si>
    <t>Abigail Joyce Daguio</t>
  </si>
  <si>
    <t>1 Health Checking</t>
  </si>
  <si>
    <t>DR 1325</t>
  </si>
  <si>
    <t>Abaya Veterinary Clinic</t>
  </si>
  <si>
    <t>08B0708230536</t>
  </si>
  <si>
    <t>DR 1224</t>
  </si>
  <si>
    <t>Rue St. Roche Vet Clinic</t>
  </si>
  <si>
    <t>San Pablo City</t>
  </si>
  <si>
    <t>Laguna</t>
  </si>
  <si>
    <t>08B0708230532</t>
  </si>
  <si>
    <t>MA21100010013</t>
  </si>
  <si>
    <t>DR 1221</t>
  </si>
  <si>
    <t>Galaxy Paws Animal Clinic</t>
  </si>
  <si>
    <t>Caloocan</t>
  </si>
  <si>
    <t>Metro Manila</t>
  </si>
  <si>
    <t>Nhovy Mal</t>
  </si>
  <si>
    <t>08B0706230544</t>
  </si>
  <si>
    <t>DR 1326</t>
  </si>
  <si>
    <t>Vets Turf Animal Clinic</t>
  </si>
  <si>
    <t>Candon</t>
  </si>
  <si>
    <t>08B0708230530</t>
  </si>
  <si>
    <t>DR 1397</t>
  </si>
  <si>
    <t>Liza Peg-ed</t>
  </si>
  <si>
    <t>DR 1402</t>
  </si>
  <si>
    <t>DR 1226</t>
  </si>
  <si>
    <t>Ecovet Animal Clinic</t>
  </si>
  <si>
    <t>Ibaan</t>
  </si>
  <si>
    <t>Batangas</t>
  </si>
  <si>
    <t>08B0708230531</t>
  </si>
  <si>
    <t>DR 1228</t>
  </si>
  <si>
    <t>Edison Veterinary Services</t>
  </si>
  <si>
    <t>Binan</t>
  </si>
  <si>
    <t>F05P05AA8</t>
  </si>
  <si>
    <t>DR 1341</t>
  </si>
  <si>
    <t>DR 1340</t>
  </si>
  <si>
    <t>DR 1506</t>
  </si>
  <si>
    <t>08B1007230556</t>
  </si>
  <si>
    <t>DR 1508</t>
  </si>
  <si>
    <t>08B1007230562</t>
  </si>
  <si>
    <t>DR 1509</t>
  </si>
  <si>
    <t>08B1007230558</t>
  </si>
  <si>
    <t>DR 1520</t>
  </si>
  <si>
    <t>Pet Treasures Veterinary Clinic</t>
  </si>
  <si>
    <t>Odelon Alagao</t>
  </si>
  <si>
    <t>DR 1229</t>
  </si>
  <si>
    <t>Up North Veterinary Services</t>
  </si>
  <si>
    <t>Miriza David</t>
  </si>
  <si>
    <t>08b1007230557</t>
  </si>
  <si>
    <t>DR 1479</t>
  </si>
  <si>
    <t>Medpaws Veterinary Clinic</t>
  </si>
  <si>
    <t>Quezon City</t>
  </si>
  <si>
    <t>Lyn Taule</t>
  </si>
  <si>
    <t>08B1007230560</t>
  </si>
  <si>
    <t>1 unit ups avr, 1 set probe cleanser 50ml, 1 set vh serues lyse 2x 250 ml, 1 vh series diluent 4x 5L</t>
  </si>
  <si>
    <t>08b1017220328</t>
  </si>
  <si>
    <t>1 Unit Vu10 Urine Analyzer, 1 set vh30 series lyse (2x250 ml), 1 set vh30 series diluent 4x5L, 1 btl probe cleanser 50 ml, ipc ups, 1 box liver and kidney profile</t>
  </si>
  <si>
    <t>CV2310003202210479</t>
  </si>
  <si>
    <t>DR 1523</t>
  </si>
  <si>
    <t>Neervet Animal Clinic</t>
  </si>
  <si>
    <t>Bacnotan</t>
  </si>
  <si>
    <t>Ken Oliver Badua</t>
  </si>
  <si>
    <t>CV231000202210464</t>
  </si>
  <si>
    <t>1 Unit vu10 urine analyzer wt strips, 1 box liver and kidney profile( 1x10), 1 pc ups silvertec</t>
  </si>
  <si>
    <t>MA21100010060</t>
  </si>
  <si>
    <t>DR 1486</t>
  </si>
  <si>
    <t>Infanta Veterinary Clinic</t>
  </si>
  <si>
    <t>Infanta</t>
  </si>
  <si>
    <t>Quezon Province</t>
  </si>
  <si>
    <t>1year</t>
  </si>
  <si>
    <t>MA21100010028</t>
  </si>
  <si>
    <t>FOC</t>
  </si>
  <si>
    <t>18</t>
  </si>
  <si>
    <t>1 Health checking plus profile, 1 health checking profile, 1 VU10 Analyzer, 1Urine strip</t>
  </si>
  <si>
    <t>DR 1529</t>
  </si>
  <si>
    <t>F05P5AF6</t>
  </si>
  <si>
    <t>1 XRAY TABLE, 1 LEAD VEST, 1 XRAY COMPUTER, 1 12 LEADS ECG</t>
  </si>
  <si>
    <t>DR 1532</t>
  </si>
  <si>
    <t>Ma21100010019</t>
  </si>
  <si>
    <t>DR 1530</t>
  </si>
  <si>
    <t>Ezra</t>
  </si>
  <si>
    <t>F05P5AF8</t>
  </si>
  <si>
    <t>DR 1489</t>
  </si>
  <si>
    <t>Emmanoel Rumbaoa</t>
  </si>
  <si>
    <t>B/W</t>
  </si>
  <si>
    <t>J3251151cto32110001</t>
  </si>
  <si>
    <t>1 PROBE CONVEX</t>
  </si>
  <si>
    <t>DR 1488</t>
  </si>
  <si>
    <t>Ma211000110014</t>
  </si>
  <si>
    <t>DR 1487</t>
  </si>
  <si>
    <t>Janine Guerrero</t>
  </si>
  <si>
    <t>Ma21100010010</t>
  </si>
  <si>
    <t>DR 1539</t>
  </si>
  <si>
    <t>Rosario Vets Animal Clinic</t>
  </si>
  <si>
    <t>08B0628220255</t>
  </si>
  <si>
    <t>DR 1536</t>
  </si>
  <si>
    <t>San Quintin</t>
  </si>
  <si>
    <t>08B1007230563</t>
  </si>
  <si>
    <t>DR 1624</t>
  </si>
  <si>
    <t xml:space="preserve"> 1 Xray Table, 1 Lead Vest, 1 All in One PC</t>
  </si>
  <si>
    <t>DR 1619</t>
  </si>
  <si>
    <t>Ma22070060015</t>
  </si>
  <si>
    <t>DR 1853</t>
  </si>
  <si>
    <t>Animal Corner Vet Clinic</t>
  </si>
  <si>
    <t>Cristopher Dela Cruz</t>
  </si>
  <si>
    <t>08B0628220249</t>
  </si>
  <si>
    <t>1 SET VH30 DILUENT,1 SET VH30 LYSE,1 BOT PROBE CLEANSER,  1PC AVR</t>
  </si>
  <si>
    <t>DR 1578</t>
  </si>
  <si>
    <t>Mots Animal Clinic</t>
  </si>
  <si>
    <t>Sta Rosa</t>
  </si>
  <si>
    <t>Ramsodel Macaraig</t>
  </si>
  <si>
    <t>08B1017220327</t>
  </si>
  <si>
    <t>Pull-out</t>
  </si>
  <si>
    <t>DR 1891</t>
  </si>
  <si>
    <t>Northern Valley Veterinary Clinic</t>
  </si>
  <si>
    <t>Kate Domingo</t>
  </si>
  <si>
    <t>08B1017220325</t>
  </si>
  <si>
    <t>DR 1701</t>
  </si>
  <si>
    <t>DR 1709</t>
  </si>
  <si>
    <t>MA21100010008</t>
  </si>
  <si>
    <t>MA21100010031</t>
  </si>
  <si>
    <t>DR 1708</t>
  </si>
  <si>
    <t>Pet Care Veterinary Clinic</t>
  </si>
  <si>
    <t>Urdaneta</t>
  </si>
  <si>
    <t>Irish Mae Cugana</t>
  </si>
  <si>
    <t>08B1007230559</t>
  </si>
  <si>
    <t>DR 1710</t>
  </si>
  <si>
    <t>Pet Essentials Veterinary Clinic/ San Manuel Vet. Clinic</t>
  </si>
  <si>
    <t>Rosales/ San Manuel</t>
  </si>
  <si>
    <t>08B101220321</t>
  </si>
  <si>
    <t>DR 1804</t>
  </si>
  <si>
    <t>Danica Paguyu</t>
  </si>
  <si>
    <t>DR 1597</t>
  </si>
  <si>
    <t>PULLED OUT April 29 2024 DR 1681</t>
  </si>
  <si>
    <t>L32511510T032N0001</t>
  </si>
  <si>
    <t>1 microconvex, convex, printer, trolley</t>
  </si>
  <si>
    <t>DR 1930</t>
  </si>
  <si>
    <t>MA21100010025</t>
  </si>
  <si>
    <t>DR 1735</t>
  </si>
  <si>
    <t>MA21100010050</t>
  </si>
  <si>
    <t>DR 1806</t>
  </si>
  <si>
    <t>Gambala Veterinary Clinic</t>
  </si>
  <si>
    <t>Jobelle Gambala</t>
  </si>
  <si>
    <t>08B1017220322</t>
  </si>
  <si>
    <t>DR 1755</t>
  </si>
  <si>
    <t>DR 1810</t>
  </si>
  <si>
    <t>Jayvee Panganiban</t>
  </si>
  <si>
    <t>DR 1667</t>
  </si>
  <si>
    <t>Howllistic Vet Clinic</t>
  </si>
  <si>
    <t>JB Garcia</t>
  </si>
  <si>
    <t>08B1017220324</t>
  </si>
  <si>
    <t>DR 1669</t>
  </si>
  <si>
    <t>San Felipe</t>
  </si>
  <si>
    <t>Joan Niedo</t>
  </si>
  <si>
    <t>08B0628220250</t>
  </si>
  <si>
    <t>DR 1824</t>
  </si>
  <si>
    <t>DR 1951</t>
  </si>
  <si>
    <t>Kaye Domingo</t>
  </si>
  <si>
    <t>1 Comprehensive</t>
  </si>
  <si>
    <t>DR 1955</t>
  </si>
  <si>
    <t>Vet Soucier Animal Clinic</t>
  </si>
  <si>
    <t>Tarlac City</t>
  </si>
  <si>
    <t>F05P5BIE</t>
  </si>
  <si>
    <t>1 - lead vest, All in one PC</t>
  </si>
  <si>
    <t>DR 1830</t>
  </si>
  <si>
    <t>Pines Veterinary Clinic</t>
  </si>
  <si>
    <t>CV5/VP20</t>
  </si>
  <si>
    <t>210500/200079</t>
  </si>
  <si>
    <t>08B0628220246</t>
  </si>
  <si>
    <t>1 HC Plus</t>
  </si>
  <si>
    <t>James Arthur De Guzman</t>
  </si>
  <si>
    <t>DRF V1</t>
  </si>
  <si>
    <t>V126032601000012</t>
  </si>
  <si>
    <t>Lead Vest/Flat Panel/ Desktop/ AVR</t>
  </si>
  <si>
    <t>Vet Furpaws Pet Care Services/Pound for Hounds Vet. Clinic</t>
  </si>
  <si>
    <t>Sta Maria/ Barihan Malolos</t>
  </si>
  <si>
    <t>Ma. Janine Nicole Dayria</t>
  </si>
  <si>
    <t>08B1017220323</t>
  </si>
  <si>
    <t>Faith Pet Clinic</t>
  </si>
  <si>
    <t>Sheryl De Guzman</t>
  </si>
  <si>
    <t>MA 21100010009</t>
  </si>
  <si>
    <t>DR 1689</t>
  </si>
  <si>
    <t>Cuddly Care Animal Clinic</t>
  </si>
  <si>
    <t>Marikina City</t>
  </si>
  <si>
    <t>08B0628220357</t>
  </si>
  <si>
    <t>DR1689</t>
  </si>
  <si>
    <t>1 AVR</t>
  </si>
  <si>
    <t>DR 1691</t>
  </si>
  <si>
    <t>NextDoor Pet Care Services</t>
  </si>
  <si>
    <t>San Miguel</t>
  </si>
  <si>
    <t>08B0628220253</t>
  </si>
  <si>
    <t>DR 1848</t>
  </si>
  <si>
    <t>Gentle Paws Animal Clinic</t>
  </si>
  <si>
    <t>Bangar</t>
  </si>
  <si>
    <t>Janine Bulfa</t>
  </si>
  <si>
    <t>OBB1017220319</t>
  </si>
  <si>
    <t>SN 210475</t>
  </si>
  <si>
    <t>1 HC PR, 1P K3, 1P HEPA</t>
  </si>
  <si>
    <t>Dr 1799</t>
  </si>
  <si>
    <t>MA21100010042</t>
  </si>
  <si>
    <t>with printer</t>
  </si>
  <si>
    <t>DR 1699</t>
  </si>
  <si>
    <t>BW6</t>
  </si>
  <si>
    <t>D4294311CTO03N0006</t>
  </si>
  <si>
    <t>1-Transduce, printer,trolley</t>
  </si>
  <si>
    <t>DR 1969</t>
  </si>
  <si>
    <t>Doc Jen Veterinary Clinic</t>
  </si>
  <si>
    <t>Sta. Maria</t>
  </si>
  <si>
    <t xml:space="preserve">Jenicelle </t>
  </si>
  <si>
    <t>08B1213230655</t>
  </si>
  <si>
    <t>VP20</t>
  </si>
  <si>
    <t>1 Health checking profile</t>
  </si>
  <si>
    <t>Jefferson</t>
  </si>
  <si>
    <t>6110123200053</t>
  </si>
  <si>
    <t>1Box health checking,1 Unit AVR</t>
  </si>
  <si>
    <t xml:space="preserve">Alla </t>
  </si>
  <si>
    <t>63110123200061</t>
  </si>
  <si>
    <t>Nadine Baculana</t>
  </si>
  <si>
    <t>UTZ</t>
  </si>
  <si>
    <t>F4294311CT028N0002</t>
  </si>
  <si>
    <t>DR2175</t>
  </si>
  <si>
    <t>63110123200043</t>
  </si>
  <si>
    <t>Gopets Veterinary Clinic</t>
  </si>
  <si>
    <t>Dylan</t>
  </si>
  <si>
    <t>08B0628220251</t>
  </si>
  <si>
    <t>4- 5l Diluent, 2-250mL Lyse, 1 PC,1Pk EDTA K3, Ups Avr</t>
  </si>
  <si>
    <t>Furry Petfriends Veterinary Clinic</t>
  </si>
  <si>
    <t>Tanza</t>
  </si>
  <si>
    <t>Cavite</t>
  </si>
  <si>
    <t>Maria Angela Danao</t>
  </si>
  <si>
    <t>08B1213230668</t>
  </si>
  <si>
    <t>2 lyse 250, 4 diluent 5 L,,1 probe cleanser, 1AVR,1pack EDTA K3 tube</t>
  </si>
  <si>
    <t>Pet Champ Animal Clinic</t>
  </si>
  <si>
    <t>Nelson Montano</t>
  </si>
  <si>
    <t>08B1213230673</t>
  </si>
  <si>
    <t>Carmona Veterinary Clinic</t>
  </si>
  <si>
    <t>Carmona</t>
  </si>
  <si>
    <t>Giovanni Verzosa</t>
  </si>
  <si>
    <t>08B1213230669</t>
  </si>
  <si>
    <t>Magagalot Gina</t>
  </si>
  <si>
    <t>F05R5E1F</t>
  </si>
  <si>
    <t>1-Xray Table, 1-lead vest, All in one pc</t>
  </si>
  <si>
    <t>F05R5E17</t>
  </si>
  <si>
    <t>All in one PC</t>
  </si>
  <si>
    <t>Binalonan Veterinary Clinic</t>
  </si>
  <si>
    <t>Nerissa Cruz</t>
  </si>
  <si>
    <t>F05R5E2B</t>
  </si>
  <si>
    <t>'063110123200039</t>
  </si>
  <si>
    <t>cash</t>
  </si>
  <si>
    <t>'Ma23090200029</t>
  </si>
  <si>
    <t>Agapet Animal Clinic</t>
  </si>
  <si>
    <t>General Trias</t>
  </si>
  <si>
    <t>08B121323066</t>
  </si>
  <si>
    <t>2 lyse 250, 4 diluent 5 L,1 probe cleanser, 1AVR,1pack EDTA K3 tube</t>
  </si>
  <si>
    <t>Vet Street Veterinary Cinic</t>
  </si>
  <si>
    <t>Muñoz</t>
  </si>
  <si>
    <t>Aira Mae Abrajano</t>
  </si>
  <si>
    <t>08B1213230680</t>
  </si>
  <si>
    <t>2 lyse 250, 4 diluent 5 L,1 probe cleanser</t>
  </si>
  <si>
    <t>Vet ni Bantay Animal Clinic</t>
  </si>
  <si>
    <t>Bantay</t>
  </si>
  <si>
    <t xml:space="preserve">Ivy Krizzel  </t>
  </si>
  <si>
    <t>08B1213230682</t>
  </si>
  <si>
    <t>Narvacan Veterinary Clinic</t>
  </si>
  <si>
    <t>Narvacan</t>
  </si>
  <si>
    <t>Febelyn Oloan</t>
  </si>
  <si>
    <t>08B1213230674</t>
  </si>
  <si>
    <t>Sual</t>
  </si>
  <si>
    <t>08B1213230690</t>
  </si>
  <si>
    <t>2 lyse 250, 4 diluent 5 L,1 probe cleanser,1AVR</t>
  </si>
  <si>
    <t xml:space="preserve">Annabelle </t>
  </si>
  <si>
    <t>08B1213230683</t>
  </si>
  <si>
    <t>Norilyn Taule</t>
  </si>
  <si>
    <t>F4251151CT032N0001</t>
  </si>
  <si>
    <t>1 microconvex convex probe, printer, trolley, UTZ  gel</t>
  </si>
  <si>
    <t>08G1213230664</t>
  </si>
  <si>
    <t>2 lyse 250, 4 diluent 5 L,1 probe cleanser, 1AVR</t>
  </si>
  <si>
    <t>1Box Comprehensive Profile,1 Lithium Heparin</t>
  </si>
  <si>
    <t>Pets Ville Veterinary Clinic</t>
  </si>
  <si>
    <t>Laoc</t>
  </si>
  <si>
    <t>08B1213230663</t>
  </si>
  <si>
    <t>Vetlane Animal Clinic</t>
  </si>
  <si>
    <t>08B1213230681</t>
  </si>
  <si>
    <t>Immanuel Rei L. Rombaoa</t>
  </si>
  <si>
    <t>1AVR, 1 Comprehensive Profile</t>
  </si>
  <si>
    <t>Moergan and Friends Veterinary Clinic</t>
  </si>
  <si>
    <t>Conception</t>
  </si>
  <si>
    <t>Mary Joy Constantino</t>
  </si>
  <si>
    <t>1 health checking profile</t>
  </si>
  <si>
    <t>08B12132B0678</t>
  </si>
  <si>
    <t>Zoe's Clapier Veterinary Clinic/ Salubrious Toptails Animal Clinic</t>
  </si>
  <si>
    <t>Abucay/ Orion</t>
  </si>
  <si>
    <t>08B1213230688</t>
  </si>
  <si>
    <t>KD Balneg</t>
  </si>
  <si>
    <t>1 Box Health Checking Profile, 1 Pack Lithium Heparin</t>
  </si>
  <si>
    <t>Kanayunan Animal Clinic</t>
  </si>
  <si>
    <t>Mangatarem</t>
  </si>
  <si>
    <t>08B1213230671</t>
  </si>
  <si>
    <t>2 lyse 250, 4 diluent 5 L,1 probe cleanser,1 AVR</t>
  </si>
  <si>
    <t>1VP Comprehensive Profile, 1Pack Heparin</t>
  </si>
  <si>
    <t>Caden's Pet Care Veterinary Clinic</t>
  </si>
  <si>
    <t>Sta. Ignacia</t>
  </si>
  <si>
    <t>08B1213230677</t>
  </si>
  <si>
    <t>Gentri Vetcare Animal Cliinic</t>
  </si>
  <si>
    <t>Threist Gajes</t>
  </si>
  <si>
    <t>08B1213230676</t>
  </si>
  <si>
    <t>2 lyse 250, 4 diluent 5 L,1 probe cleanser,1 AVR,1 pack K3 Edta</t>
  </si>
  <si>
    <t>Pulled-out MSF25 10/2/25</t>
  </si>
  <si>
    <t>1VP Health Checking Profile</t>
  </si>
  <si>
    <t>Pulled-out MSF54 9/09/25</t>
  </si>
  <si>
    <t>1 VP Health Checking, 1 Pack Lithium Heparin</t>
  </si>
  <si>
    <t>Franjels Veterinary Clinic</t>
  </si>
  <si>
    <t>San Pedro</t>
  </si>
  <si>
    <t>Francis Abalos</t>
  </si>
  <si>
    <t>08B1213230650</t>
  </si>
  <si>
    <t>Annapolis Veterinary Care Center</t>
  </si>
  <si>
    <t>08B1213230675</t>
  </si>
  <si>
    <t>Paoay Animal Clinic</t>
  </si>
  <si>
    <t>Paoay</t>
  </si>
  <si>
    <t>Kathleen Joyce P. Venal</t>
  </si>
  <si>
    <t>D8B0909240823</t>
  </si>
  <si>
    <t>Langkaan Animal Clinic</t>
  </si>
  <si>
    <t>Dasmariñas</t>
  </si>
  <si>
    <t>Justine Jay Valenzuela</t>
  </si>
  <si>
    <t>08B0909240830</t>
  </si>
  <si>
    <t>Golden Vet Animal Clinic</t>
  </si>
  <si>
    <t>Imus</t>
  </si>
  <si>
    <t>Elena Labutan</t>
  </si>
  <si>
    <t>08B0909240808</t>
  </si>
  <si>
    <t>Mivet Veterinary Clinic</t>
  </si>
  <si>
    <t>Tagaytay City</t>
  </si>
  <si>
    <t>Marriane Ignacio</t>
  </si>
  <si>
    <t>08B1213230651</t>
  </si>
  <si>
    <t>3KE Pet Solution Animal Clinic</t>
  </si>
  <si>
    <t>Kawit</t>
  </si>
  <si>
    <t>Ferdinand Estolloso</t>
  </si>
  <si>
    <t>08B0224230440</t>
  </si>
  <si>
    <t>Pet Avenue Veterianry Clinic</t>
  </si>
  <si>
    <t>Ana Sison</t>
  </si>
  <si>
    <t>1 Vp Comprehensive Profile</t>
  </si>
  <si>
    <t>Animal Access Veterinary Clinic</t>
  </si>
  <si>
    <t>San Ildefenso</t>
  </si>
  <si>
    <t>Charlotte Salvador</t>
  </si>
  <si>
    <t>63110123200083</t>
  </si>
  <si>
    <t>1VP Health Checking Profile,1pack Lithium Herapin, 1Pipettor, Test kits</t>
  </si>
  <si>
    <t>Pet Circle Animal Clinic</t>
  </si>
  <si>
    <t>Kimberly Visaya</t>
  </si>
  <si>
    <t>08B0909240796</t>
  </si>
  <si>
    <t>1VH Diluent 5Lx4, VH lyse 250x2, 1probe cleanser, 1AVR</t>
  </si>
  <si>
    <t>Pulled-out PO37 11/19/25</t>
  </si>
  <si>
    <t>Collins Animal Clinic</t>
  </si>
  <si>
    <t>Bayambang</t>
  </si>
  <si>
    <t>Eunirico Ramos</t>
  </si>
  <si>
    <t>08B0909240797</t>
  </si>
  <si>
    <t>1  VH Diluent 4x5L, VH lyse 2x250ml,1 AVR,1probe cleanser,1pack K3 Edta</t>
  </si>
  <si>
    <t>Pet Stop Veterinary</t>
  </si>
  <si>
    <t>Umingan</t>
  </si>
  <si>
    <t>Mark Anthony Pula</t>
  </si>
  <si>
    <t>08B0909240825</t>
  </si>
  <si>
    <t>1VH Diluent 5Lx4, VH lyse 250x2, 1probe cleanser, 1AVR, 1urine analyzer, 1pack EDTA K3</t>
  </si>
  <si>
    <t>MA23090200016</t>
  </si>
  <si>
    <t>Pawprints Animal Clinic</t>
  </si>
  <si>
    <t>Ma. Jenelyn Nova</t>
  </si>
  <si>
    <t>08B0909240813</t>
  </si>
  <si>
    <t>1VH Diluent 5Lx4, VH lyse 250x2, 1probe cleanser, K3 EDTA, 1AVR Stavol</t>
  </si>
  <si>
    <t>Pawsetivety Veterinary Clinic</t>
  </si>
  <si>
    <t>Pagbilao</t>
  </si>
  <si>
    <t>Jake V. Denes</t>
  </si>
  <si>
    <t>08B0909240803</t>
  </si>
  <si>
    <t>1VH Diluent 5Lx4, VH lyse 250x2, 1probe cleanser, 1AVR, 1pack EDTA K3 Tube</t>
  </si>
  <si>
    <t>Doctor Noah's Veterinary Clinic</t>
  </si>
  <si>
    <t>Legazpi City</t>
  </si>
  <si>
    <t>Albay</t>
  </si>
  <si>
    <t>Christian Vargas</t>
  </si>
  <si>
    <t>63110123200104</t>
  </si>
  <si>
    <t>2VP Comprehensive Profile, 1Pack Heparin</t>
  </si>
  <si>
    <t>Buy-out</t>
  </si>
  <si>
    <t>08B0909240814</t>
  </si>
  <si>
    <t>1VH Diluent 5Lx4, VH lyse 250x2, 1probe cleanser, K3 EDTA, 1AVR</t>
  </si>
  <si>
    <t>B.V. Seda Animal Care Clininc</t>
  </si>
  <si>
    <t>Lemery</t>
  </si>
  <si>
    <t>Bernadette Seda</t>
  </si>
  <si>
    <t>Vet Street Animal Medical Center / JMIC Animal Medical Center</t>
  </si>
  <si>
    <t>Danna Mora Velazquez</t>
  </si>
  <si>
    <t>08B1213230672</t>
  </si>
  <si>
    <t>1VH Diluent 5Lx4, VH lyse 250x2, 1probe cleanser</t>
  </si>
  <si>
    <t>Diann Kristine Gamara</t>
  </si>
  <si>
    <t>08B090924807</t>
  </si>
  <si>
    <t>1Stavol AVR, 1VH Diluent 5Lx4, VH lyse 250x2, 1probe cleanser, 1 EDTA K3</t>
  </si>
  <si>
    <t>BK Petaholic Animal Clinic</t>
  </si>
  <si>
    <t>Kumintang Ilaya</t>
  </si>
  <si>
    <t>Babbit  Kingay</t>
  </si>
  <si>
    <t>08B0909240800</t>
  </si>
  <si>
    <t>1VH Diluent 5Lx4, VH lyse 250x2, 1probe cleanser, EDTA k3,  Stavol AVR</t>
  </si>
  <si>
    <t>Puppyko Animal Clinic</t>
  </si>
  <si>
    <t>San Jose Del Monte</t>
  </si>
  <si>
    <t>Clint P. Velasco</t>
  </si>
  <si>
    <t>08B0909240802</t>
  </si>
  <si>
    <t>1VH Diluent 5Lx4, VH lyse 250x2, 1probe cleanser, EDTA k3, AVR</t>
  </si>
  <si>
    <t>Favors Animal Clinic</t>
  </si>
  <si>
    <t>Reina Mercedes</t>
  </si>
  <si>
    <t>Joy Narette Bangloy</t>
  </si>
  <si>
    <t>08B0909240826</t>
  </si>
  <si>
    <t>1VH Diluent 5Lx4, VH lyse 250x2, 1probe cleanser,Stavol AVR</t>
  </si>
  <si>
    <t>Agoo Animal Clinic</t>
  </si>
  <si>
    <t>Abigail</t>
  </si>
  <si>
    <t>08B0909240816</t>
  </si>
  <si>
    <t>Cats and Dogs Veterinary Clinic</t>
  </si>
  <si>
    <t>Lingayen</t>
  </si>
  <si>
    <t>Marilou Corpuz</t>
  </si>
  <si>
    <t>08B0909240822</t>
  </si>
  <si>
    <t>Buy out/ Pulled-out MSF27</t>
  </si>
  <si>
    <t>M Street Pet Grooming &amp; Animal Clinic</t>
  </si>
  <si>
    <t>Alfonso</t>
  </si>
  <si>
    <t>Lauro V. Bicol</t>
  </si>
  <si>
    <t>08B0909240790</t>
  </si>
  <si>
    <t>Kane Ray Maliones</t>
  </si>
  <si>
    <t>08B0909240798</t>
  </si>
  <si>
    <t>Cotton Tails Veterinary Clinic</t>
  </si>
  <si>
    <t>Calamba</t>
  </si>
  <si>
    <t>Fe Prado Duque</t>
  </si>
  <si>
    <t>08B0909240795</t>
  </si>
  <si>
    <t>Doge &amp; Cate Veterinary Clinic &amp; Services</t>
  </si>
  <si>
    <t>Melvin Leal</t>
  </si>
  <si>
    <t>08B0909240806</t>
  </si>
  <si>
    <t>63110123200111</t>
  </si>
  <si>
    <t>1box Vp series comprehensive, 1pack lithium Heparin Tube</t>
  </si>
  <si>
    <t>Maricon Labugen</t>
  </si>
  <si>
    <t>08B0909240791</t>
  </si>
  <si>
    <t>1VH Diluent 5Lx4, VH lyse 250x2, 1probe cleanser,  Stavol AVR</t>
  </si>
  <si>
    <t>Psalms Paws Veterinary Clinic/ Bridgeway</t>
  </si>
  <si>
    <t>Cardona/ Morong</t>
  </si>
  <si>
    <t>Veniz Dela Cruz</t>
  </si>
  <si>
    <t>08B0909240793</t>
  </si>
  <si>
    <t>Paw Spot Veterinary Clinic</t>
  </si>
  <si>
    <t>08B090924805</t>
  </si>
  <si>
    <t>063110123200107</t>
  </si>
  <si>
    <t>AC &amp; W Veterinary Clinic</t>
  </si>
  <si>
    <t>Alyana C. Tadique</t>
  </si>
  <si>
    <t>08B0909240804</t>
  </si>
  <si>
    <t>Vetcare Animal Clinic</t>
  </si>
  <si>
    <t>Carmela De Guzman</t>
  </si>
  <si>
    <t>08B0909240921</t>
  </si>
  <si>
    <t>1VH Diluent 5Lx4, VH lyse 250x2, 1probe cleanser,  Stavol AVR K3 Edta</t>
  </si>
  <si>
    <t>Vets and Furries Animal Clinic</t>
  </si>
  <si>
    <t>Masinloc</t>
  </si>
  <si>
    <t>Dominic C. Binay-an</t>
  </si>
  <si>
    <t>08B0909240827</t>
  </si>
  <si>
    <t>063100124200128</t>
  </si>
  <si>
    <t>1box VP Comprehensive</t>
  </si>
  <si>
    <t>Furr-fect Paws Animal Clinic</t>
  </si>
  <si>
    <t>GMA</t>
  </si>
  <si>
    <t>Lovely Jane Felix</t>
  </si>
  <si>
    <t>08B0909240794</t>
  </si>
  <si>
    <t>063100124200131</t>
  </si>
  <si>
    <t>1box Vp series Health Checking, 1pack lithium Heparin</t>
  </si>
  <si>
    <t>F522072024810n0001</t>
  </si>
  <si>
    <t>Microconvex Probe</t>
  </si>
  <si>
    <t>63100124200136</t>
  </si>
  <si>
    <t>Avr 1000VA, 2bxs Health Checking, Centrifuge</t>
  </si>
  <si>
    <t>K42943114CTOXN0005</t>
  </si>
  <si>
    <t>Microconvex Probe, UTZ Gel</t>
  </si>
  <si>
    <t>Assumpta Vet Care Animal Clinic</t>
  </si>
  <si>
    <t>Pili</t>
  </si>
  <si>
    <t>Camarines Sur</t>
  </si>
  <si>
    <t>08B090924C789</t>
  </si>
  <si>
    <t>063100124200133</t>
  </si>
  <si>
    <t>1Vp Health Checking, 1Lithium Heparin</t>
  </si>
  <si>
    <t>Little Paws Haven Veterinary Clinic</t>
  </si>
  <si>
    <t>Noel Salvador</t>
  </si>
  <si>
    <t>08B0909240815</t>
  </si>
  <si>
    <t xml:space="preserve">Mark Anthony </t>
  </si>
  <si>
    <t>6100124200129</t>
  </si>
  <si>
    <t>1box VP Comprehensive , Centrifuge</t>
  </si>
  <si>
    <t>F05R6228</t>
  </si>
  <si>
    <t>Veterinary Table, Flat Panel Detector, All in 1 PC</t>
  </si>
  <si>
    <t>Gracious Paws Veterinary Clinic</t>
  </si>
  <si>
    <t>Mary Grace Botangen</t>
  </si>
  <si>
    <t>08B0607250970</t>
  </si>
  <si>
    <t>LA Veterinary Clinic</t>
  </si>
  <si>
    <t>Jones</t>
  </si>
  <si>
    <t>GilRoy D. Bangloy</t>
  </si>
  <si>
    <t>08B0607250975</t>
  </si>
  <si>
    <t>1VH Diluent 5Lx4, Vh lyse 205mlx2, 1Probe Cleanse, Stavol AVR K3 EDTA</t>
  </si>
  <si>
    <t>Sursur Animal Clinic</t>
  </si>
  <si>
    <t>Tandag City</t>
  </si>
  <si>
    <t>Surigao Del Sur</t>
  </si>
  <si>
    <t>Jayzel Dela Peña</t>
  </si>
  <si>
    <t>08B0607250973</t>
  </si>
  <si>
    <t>Ryle Animal Clinic</t>
  </si>
  <si>
    <t>Malaybalay City</t>
  </si>
  <si>
    <t>Bukidnon</t>
  </si>
  <si>
    <t>Ariane Ace Arboes</t>
  </si>
  <si>
    <t>08B0607250967</t>
  </si>
  <si>
    <t>Fuzzy Friends Pet Clinic</t>
  </si>
  <si>
    <t>D63100124200142</t>
  </si>
  <si>
    <t>1box VP Comprehensive, Centrifuge 1pack heparin</t>
  </si>
  <si>
    <t>Bertrand Go Jr.</t>
  </si>
  <si>
    <t>063100124200137</t>
  </si>
  <si>
    <t>Blessed Creatures Veterinary Clinic</t>
  </si>
  <si>
    <t>Camalig</t>
  </si>
  <si>
    <t>08B0607250971</t>
  </si>
  <si>
    <t>63100124200127</t>
  </si>
  <si>
    <t>Petserv Animal Clinic</t>
  </si>
  <si>
    <t>Catarman</t>
  </si>
  <si>
    <t>Northern Samar</t>
  </si>
  <si>
    <t>Rey Anthony Galo</t>
  </si>
  <si>
    <t>08B0909240810</t>
  </si>
  <si>
    <t>063100124200141</t>
  </si>
  <si>
    <t>C &amp; A Pet Clinic</t>
  </si>
  <si>
    <t>Bayombong</t>
  </si>
  <si>
    <t>Cyrus C. Sipol</t>
  </si>
  <si>
    <t>08B0607250976</t>
  </si>
  <si>
    <t>Dok Aba Animal Clinic</t>
  </si>
  <si>
    <t>Davao City</t>
  </si>
  <si>
    <t>Davao Del Sur</t>
  </si>
  <si>
    <t>08B0909240820</t>
  </si>
  <si>
    <t>Lawrence Bacagan</t>
  </si>
  <si>
    <t>063100124200144</t>
  </si>
  <si>
    <t>1box VP Health Checking, Centrifuge 1pack heparin</t>
  </si>
  <si>
    <t>D and M Veterinary Services</t>
  </si>
  <si>
    <t>Caticlan</t>
  </si>
  <si>
    <t>Aklan</t>
  </si>
  <si>
    <t>Deyven N. O.</t>
  </si>
  <si>
    <t>08B0607250979</t>
  </si>
  <si>
    <t>1VH Diluent 5Lx4, Vh yse 205mlx2, 1Probe Cleanse, Stavol AVR K3 EDTA</t>
  </si>
  <si>
    <t>F05R6350</t>
  </si>
  <si>
    <t>1Table Xray, all in 1 PC, Lead Vest, Flat Panel Detector</t>
  </si>
  <si>
    <t>Tailville Veterinary Clinic</t>
  </si>
  <si>
    <t>Joyce Listana</t>
  </si>
  <si>
    <t>F05R6353</t>
  </si>
  <si>
    <t>Dog-Cat Veterinary Clinic</t>
  </si>
  <si>
    <t>San Francisco</t>
  </si>
  <si>
    <t>Agusan Del Sur</t>
  </si>
  <si>
    <t>Gieselle Calundre</t>
  </si>
  <si>
    <t>08B0607250974</t>
  </si>
  <si>
    <t>1VH Diluent 5Lx4, Vh lyse 205mlx2, 1Probe Cleanse, Himark AVR K3 EDTA</t>
  </si>
  <si>
    <t>KJT Veterinary Services</t>
  </si>
  <si>
    <t>Valencia City</t>
  </si>
  <si>
    <t>Cynthia C. Tabaco</t>
  </si>
  <si>
    <t>08B0607250982</t>
  </si>
  <si>
    <t>Pulled-out 03/19/26</t>
  </si>
  <si>
    <t>Pets Choice Animal Clinic</t>
  </si>
  <si>
    <t>Sto Tomas</t>
  </si>
  <si>
    <t>Harold Jay Millares</t>
  </si>
  <si>
    <t>2years</t>
  </si>
  <si>
    <t>CV2310006202210506</t>
  </si>
  <si>
    <t>1box CV series Health Checking, 1pack lithium Heparin, Centrifuge</t>
  </si>
  <si>
    <t>Cash w/buy-out From Northern</t>
  </si>
  <si>
    <t>Cash w/buy-out From Gentri</t>
  </si>
  <si>
    <t>Alterra JB Paws Pet Clinic</t>
  </si>
  <si>
    <t>Jordan</t>
  </si>
  <si>
    <t>Guimaras</t>
  </si>
  <si>
    <t>Ma. Theresa Macainan</t>
  </si>
  <si>
    <t>08B0607250969</t>
  </si>
  <si>
    <t>Pet Royale Clinic and Veterinary</t>
  </si>
  <si>
    <t>Calbayog City</t>
  </si>
  <si>
    <t>Samar</t>
  </si>
  <si>
    <t xml:space="preserve">Kristine </t>
  </si>
  <si>
    <t>J5L94311CT028N0001</t>
  </si>
  <si>
    <t>Microconvex Probe, UTZ Gel, Medical Printer, Trolley</t>
  </si>
  <si>
    <t>DogCat Emergency Clinic</t>
  </si>
  <si>
    <t>Koronadal City</t>
  </si>
  <si>
    <t>South Cotabato</t>
  </si>
  <si>
    <t>Hiyasmin A. Bade</t>
  </si>
  <si>
    <t>J5251151CT032N0002</t>
  </si>
  <si>
    <t>MA23090200018</t>
  </si>
  <si>
    <t>with Printer , Raffle PAHA</t>
  </si>
  <si>
    <t>Pet House Veterinary Clinic</t>
  </si>
  <si>
    <t>Zarah Shane Egaya</t>
  </si>
  <si>
    <t>MA23050140100</t>
  </si>
  <si>
    <t>Pawprints Veterinary Clinic</t>
  </si>
  <si>
    <t>MA23090200021</t>
  </si>
  <si>
    <t>With Printer Cash</t>
  </si>
  <si>
    <t>Dad's Care Veterinary Clinic</t>
  </si>
  <si>
    <t>08B0607250964</t>
  </si>
  <si>
    <t>063100124200143</t>
  </si>
  <si>
    <t>1box VP Comprehensive, 1pack lithium Heparin, Centrifuge, Pipetor</t>
  </si>
  <si>
    <t>Andie Fernandez</t>
  </si>
  <si>
    <t>J5251151CT032N0001</t>
  </si>
  <si>
    <t>Addy Paws Animal Clinic</t>
  </si>
  <si>
    <t>Alfonso Lista</t>
  </si>
  <si>
    <t>Ifugao</t>
  </si>
  <si>
    <t>Abriana Jucbo</t>
  </si>
  <si>
    <t>08B0607250972</t>
  </si>
  <si>
    <t>1VH Diluent 5Lx4, Vh lyse 205mlx2, 1Probe Cleanse, AVR K3 EDTA</t>
  </si>
  <si>
    <t>ICT Vet Veterinary Clinic</t>
  </si>
  <si>
    <t>Eden Ildefonso</t>
  </si>
  <si>
    <t>63081823200082</t>
  </si>
  <si>
    <t>1box VP Comprehensive, 1pack lithium Heparin, Centrifuge</t>
  </si>
  <si>
    <t>Fr Gentri</t>
  </si>
  <si>
    <t>3DS Veterinary Services &amp; Supplies</t>
  </si>
  <si>
    <t>Madrid</t>
  </si>
  <si>
    <t>Dennis M. Palaca</t>
  </si>
  <si>
    <t>08B0607250978</t>
  </si>
  <si>
    <t>Beyond Bark Animal Clinic</t>
  </si>
  <si>
    <t>Marilao</t>
  </si>
  <si>
    <t>Kristeen May Dela Cruz</t>
  </si>
  <si>
    <t>08B0213250797</t>
  </si>
  <si>
    <t>TrustiVet Animal Clinic</t>
  </si>
  <si>
    <t>Joenathan Babelonia</t>
  </si>
  <si>
    <t>ZT-DRF_V1</t>
  </si>
  <si>
    <t>Veterinary Table, Flat Panel Detector, collimator, desktop, Vet. Positioner, 21.5 HD touchscreen monitor, 2pcs Lead Vest, 32KW Generator, Lead Curtain.</t>
  </si>
  <si>
    <t>Kristine Da</t>
  </si>
  <si>
    <t>08B0607250977</t>
  </si>
  <si>
    <t>Margavet Animal Clinic</t>
  </si>
  <si>
    <t>Antipolo City</t>
  </si>
  <si>
    <t>Dianne Margarett R. Opeda</t>
  </si>
  <si>
    <t>08B0213250792</t>
  </si>
  <si>
    <t>Pawrock Veterinary Clinic</t>
  </si>
  <si>
    <t>Porac</t>
  </si>
  <si>
    <t>Shearwood It-itan</t>
  </si>
  <si>
    <t>Fr Cats and Dogs</t>
  </si>
  <si>
    <t>08B0607250968</t>
  </si>
  <si>
    <t>063100124200154</t>
  </si>
  <si>
    <t>Pet Aid Veterinary Clinic</t>
  </si>
  <si>
    <t>Trish Barba</t>
  </si>
  <si>
    <t>K52251014PAO9N0016</t>
  </si>
  <si>
    <t>Microconvex Probe, UTZ Gel, Trolley</t>
  </si>
  <si>
    <t>Aklan Vet Mobile Animal Clinic</t>
  </si>
  <si>
    <t>Kalibo, Aklan</t>
  </si>
  <si>
    <t>Dayanara B. Solana</t>
  </si>
  <si>
    <t>A6294311CT028N0001</t>
  </si>
  <si>
    <t>Microconvex Probe, UTZ Gel, Phased Array Probe</t>
  </si>
  <si>
    <t>06251151CT032N0001</t>
  </si>
  <si>
    <t>Convex Probe, UTZ Gel, Trolley, Medical Printer, Thermal Paper</t>
  </si>
  <si>
    <t>Animal's Den Veterinary Clinic</t>
  </si>
  <si>
    <t>Itogon</t>
  </si>
  <si>
    <t>DR. E Veterinary Clinic</t>
  </si>
  <si>
    <t>Iligan City</t>
  </si>
  <si>
    <t>Lanao Del Norte</t>
  </si>
  <si>
    <t>Mylene Edrozo</t>
  </si>
  <si>
    <t>MA23050140040</t>
  </si>
  <si>
    <t>Bluetooth Printer w/battery charger</t>
  </si>
  <si>
    <t>Red Claws Pet Health Center</t>
  </si>
  <si>
    <t>Juan Martin Zuniega</t>
  </si>
  <si>
    <t>08B0607250981</t>
  </si>
  <si>
    <t>063100124200156</t>
  </si>
  <si>
    <t>Pets &amp; Farms Veterinary Services</t>
  </si>
  <si>
    <t>Nasugbu</t>
  </si>
  <si>
    <t>Kevin Lopena</t>
  </si>
  <si>
    <t>fr KJT</t>
  </si>
  <si>
    <t>Centrovet Animal Clinic</t>
  </si>
  <si>
    <t>Ace Martin D. Santos</t>
  </si>
  <si>
    <t>08B0607250980</t>
  </si>
  <si>
    <t>cash w/ buy-out</t>
  </si>
  <si>
    <t>MA23090200094</t>
  </si>
  <si>
    <t>portable printer</t>
  </si>
  <si>
    <t>Pet Direction Veterinary Clinic</t>
  </si>
  <si>
    <t>San Simon</t>
  </si>
  <si>
    <t>Ryan James Esteban</t>
  </si>
  <si>
    <t>1set VH Diluent 5Lx4, 1set  VH lyse 250x2, 1probe cleanser, 1AVR</t>
  </si>
  <si>
    <t>cash from Pet Circle w/buy-out</t>
  </si>
  <si>
    <t>ZT-DR_V1</t>
  </si>
  <si>
    <t>VT28033IPIG3R21022</t>
  </si>
  <si>
    <t>Veterinary Table flr type, Flat Panel Detector, collimator, desktop, Vet. Positioner, 21.5 HD touchscreen monitor, 2pcs Lead Vest, 32KW Generator, Lead Curtain.</t>
  </si>
  <si>
    <t>Furry Tales Veterinary Clinic</t>
  </si>
  <si>
    <t>Helena Galang</t>
  </si>
  <si>
    <t>ZT-DRF-V1</t>
  </si>
  <si>
    <t>VT260507P2G3R41001</t>
  </si>
  <si>
    <t>Veterinary Table flr type, Flat Panel Detector, collimator, desktop, Vet. Positioner, touchscreen monitor, 2pcs Lead Vest, Lead Curtain.</t>
  </si>
  <si>
    <t>FMR Animal Clinic</t>
  </si>
  <si>
    <t>Cotabato City</t>
  </si>
  <si>
    <t>Cotabato</t>
  </si>
  <si>
    <t>Fatima Pasawilan</t>
  </si>
  <si>
    <t>MA23090200096</t>
  </si>
  <si>
    <t>w/Urine Printer 1Btl Urine Strips</t>
  </si>
  <si>
    <t>Cordon</t>
  </si>
  <si>
    <t>1 set VH30 DILUENT,1 SET VH30 LYSE,1 BOT PROBE CLEANSER, 1pack Edta K3  1PC AVR</t>
  </si>
  <si>
    <t>Petmate Veterinary Clinic</t>
  </si>
  <si>
    <t>Rollie P. Dagayday</t>
  </si>
  <si>
    <t>VT260604P363R21004</t>
  </si>
  <si>
    <t>Veterinary Table, Flat Panel Detector, collimator,  Vet. Positioner, 16' touch screen monitor, 2pcs Lead Vest, 32KW Generator, 2Lead Curtain.</t>
  </si>
  <si>
    <t>E6251151CT032N0001</t>
  </si>
  <si>
    <t>Micro Convex Probe, 1btl UTZ Gel</t>
  </si>
  <si>
    <t>Artemis Veterinary Clinic</t>
  </si>
  <si>
    <t>General Santos City</t>
  </si>
  <si>
    <t>Meliza D. Cagungao</t>
  </si>
  <si>
    <t>2804170200291</t>
  </si>
  <si>
    <t>E6251151CT032N0002</t>
  </si>
  <si>
    <t>Bagabag, Nueva Vizcaya</t>
  </si>
  <si>
    <t>Julievelle S Bibas</t>
  </si>
  <si>
    <t>G6294311CT028N0001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</si>
</sst>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/dd/yy"/>
    <numFmt numFmtId="165" formatCode="_-* #,##0.00_-;\-* #,##0.00_-;_-* &quot;-&quot;??_-;_-@"/>
    <numFmt numFmtId="166" formatCode="_-&quot;₱&quot;* #,##0.00_-;\-&quot;₱&quot;* #,##0.00_-;_-&quot;₱&quot;* &quot;-&quot;??_-;_-@"/>
    <numFmt numFmtId="167" formatCode="&quot;₱&quot;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80809"/>
      <name val="Segoe UI Historic"/>
      <family val="2"/>
    </font>
    <font>
      <sz val="11"/>
      <color rgb="FF080809"/>
      <name val="Aptos Narrow"/>
      <family val="2"/>
      <scheme val="minor"/>
    </font>
    <font>
      <sz val="11"/>
      <color rgb="FFFF0000"/>
      <name val="Calibri"/>
      <family val="2"/>
    </font>
    <font>
      <sz val="12"/>
      <color rgb="FFFF0000"/>
      <name val="Times New Roman"/>
      <family val="1"/>
    </font>
    <font>
      <sz val="11"/>
      <color theme="1"/>
      <name val="Segoe UI Historic"/>
      <family val="2"/>
    </font>
    <font>
      <b/>
      <sz val="11"/>
      <color theme="1"/>
      <name val="Segoe UI Historic"/>
      <family val="2"/>
    </font>
    <font>
      <sz val="10"/>
      <color theme="1"/>
      <name val="Segoe UI Historic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9E2F3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4" fillId="0" borderId="1" xfId="0" applyFont="1" applyBorder="1" applyAlignment="1">
      <alignment horizontal="center" vertical="top"/>
    </xf>
    <xf numFmtId="16" fontId="4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5" fillId="0" borderId="1" xfId="0" applyNumberFormat="1" applyFont="1" applyBorder="1" applyAlignment="1">
      <alignment vertical="top"/>
    </xf>
    <xf numFmtId="16" fontId="5" fillId="0" borderId="1" xfId="0" applyNumberFormat="1" applyFont="1" applyBorder="1" applyAlignment="1">
      <alignment vertical="top"/>
    </xf>
    <xf numFmtId="16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vertical="top"/>
    </xf>
    <xf numFmtId="9" fontId="5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quotePrefix="1" applyFont="1" applyBorder="1" applyAlignment="1">
      <alignment vertical="top"/>
    </xf>
    <xf numFmtId="0" fontId="6" fillId="0" borderId="1" xfId="0" quotePrefix="1" applyFont="1" applyBorder="1" applyAlignment="1">
      <alignment vertical="top"/>
    </xf>
    <xf numFmtId="1" fontId="5" fillId="0" borderId="1" xfId="0" applyNumberFormat="1" applyFont="1" applyBorder="1" applyAlignment="1">
      <alignment horizontal="center" vertical="top"/>
    </xf>
    <xf numFmtId="166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2" fontId="5" fillId="0" borderId="1" xfId="0" applyNumberFormat="1" applyFont="1" applyBorder="1" applyAlignment="1">
      <alignment vertical="top"/>
    </xf>
    <xf numFmtId="167" fontId="5" fillId="0" borderId="1" xfId="0" applyNumberFormat="1" applyFont="1" applyBorder="1" applyAlignment="1">
      <alignment vertical="top"/>
    </xf>
    <xf numFmtId="0" fontId="5" fillId="0" borderId="1" xfId="0" quotePrefix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64" fontId="5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5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left" vertical="top"/>
    </xf>
    <xf numFmtId="1" fontId="8" fillId="0" borderId="1" xfId="0" applyNumberFormat="1" applyFont="1" applyBorder="1" applyAlignment="1">
      <alignment vertical="top"/>
    </xf>
    <xf numFmtId="16" fontId="8" fillId="0" borderId="1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165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" fontId="5" fillId="0" borderId="1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vertical="top"/>
    </xf>
    <xf numFmtId="0" fontId="0" fillId="0" borderId="1" xfId="0" applyBorder="1" applyAlignment="1">
      <alignment horizontal="center" vertical="top"/>
    </xf>
    <xf numFmtId="1" fontId="8" fillId="0" borderId="1" xfId="0" applyNumberFormat="1" applyFont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9" fillId="3" borderId="1" xfId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vertical="top"/>
    </xf>
    <xf numFmtId="16" fontId="4" fillId="0" borderId="1" xfId="0" applyNumberFormat="1" applyFont="1" applyBorder="1" applyAlignment="1">
      <alignment vertical="top"/>
    </xf>
    <xf numFmtId="0" fontId="4" fillId="0" borderId="1" xfId="0" quotePrefix="1" applyFont="1" applyBorder="1" applyAlignment="1">
      <alignment vertical="top"/>
    </xf>
    <xf numFmtId="166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1" fontId="5" fillId="0" borderId="1" xfId="0" applyNumberFormat="1" applyFont="1" applyBorder="1" applyAlignment="1">
      <alignment horizontal="right" vertical="top"/>
    </xf>
    <xf numFmtId="16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0" fontId="0" fillId="0" borderId="1" xfId="0" quotePrefix="1" applyBorder="1" applyAlignment="1">
      <alignment vertical="top"/>
    </xf>
    <xf numFmtId="0" fontId="12" fillId="0" borderId="1" xfId="0" applyFont="1" applyBorder="1" applyAlignment="1">
      <alignment vertical="top"/>
    </xf>
    <xf numFmtId="0" fontId="13" fillId="0" borderId="1" xfId="0" applyFont="1" applyBorder="1" applyAlignment="1">
      <alignment vertical="top"/>
    </xf>
  </cellXfs>
  <cellStyles count="2">
    <cellStyle name="Normal" xfId="0" builtinId="0"/>
    <cellStyle name="Normal 2" xfId="1" xr:uid="{EB73327F-03A4-4950-B3DC-6BBE7FBCF9A2}"/>
  </cellStyles>
  <dxfs count="5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Machine Info-style" pivot="0" count="3" xr9:uid="{0540E29F-2D67-4DB1-A56B-0418A7BC8BF4}">
      <tableStyleElement type="headerRow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462A3-5C1F-43B3-84A4-80E1C9D76A30}" name="Master_Machine_Info" displayName="Master_Machine_Info" ref="A1:S369" totalsRowShown="0" headerRowDxfId="39" totalsRowDxfId="38">
  <autoFilter ref="A1:S369" xr:uid="{0C4462A3-5C1F-43B3-84A4-80E1C9D76A30}"/>
  <sortState xmlns:xlrd2="http://schemas.microsoft.com/office/spreadsheetml/2017/richdata2" ref="A2:S369">
    <sortCondition ref="C1:C369"/>
  </sortState>
  <tableColumns count="19">
    <tableColumn id="1" xr3:uid="{946DF43E-C0E3-484E-AD1A-887297775CA6}" name="Year" dataDxfId="36" totalsRowDxfId="37"/>
    <tableColumn id="2" xr3:uid="{EF008599-BDC3-4D71-AA11-9DAD0A5CED0E}" name="Month" dataDxfId="34" totalsRowDxfId="35"/>
    <tableColumn id="3" xr3:uid="{0D6C6493-6D7F-4160-B206-4A82525BDC0D}" name="Date Installed" dataDxfId="32" totalsRowDxfId="33"/>
    <tableColumn id="4" xr3:uid="{A0210E1F-50D5-40CF-AF41-3E4773192B1C}" name="DR Number" dataDxfId="30" totalsRowDxfId="31"/>
    <tableColumn id="21" xr3:uid="{8E50A03C-3DFC-4A38-8FEA-12EA8E277BDC}" name="Logistics Code" dataDxfId="28" totalsRowDxfId="29">
      <calculatedColumnFormula array="1">_xlfn.XMATCH(F2&amp;G2&amp;H2, _xlfn.UNIQUE(F$2:F$369 &amp; G$2:G$369 &amp; H$2:H$369))</calculatedColumnFormula>
    </tableColumn>
    <tableColumn id="5" xr3:uid="{7E07D159-06C3-46AA-A710-0FB236F7CBEB}" name="Account Name" dataDxfId="26" totalsRowDxfId="27"/>
    <tableColumn id="6" xr3:uid="{056A78ED-3078-4A64-A19E-E138DE29B7FA}" name="Address" dataDxfId="24" totalsRowDxfId="25"/>
    <tableColumn id="7" xr3:uid="{25B94107-7B18-4F28-9099-6EA3D7FD2BB4}" name="Province" dataDxfId="22" totalsRowDxfId="23"/>
    <tableColumn id="8" xr3:uid="{EB1F5B03-2AE8-4F68-9A02-A757758E5227}" name="Contact Person" dataDxfId="20" totalsRowDxfId="21"/>
    <tableColumn id="9" xr3:uid="{6EEB3B6E-3A61-427A-9C5A-8852207CBE56}" name="Contact Number" dataDxfId="18" totalsRowDxfId="19"/>
    <tableColumn id="10" xr3:uid="{B91A1CC6-6D37-43C3-9315-0E64CD14741F}" name="Machine" dataDxfId="16" totalsRowDxfId="17"/>
    <tableColumn id="11" xr3:uid="{C15F0F63-0F05-466F-AEEA-834F644AFE47}" name="Model" dataDxfId="14" totalsRowDxfId="15"/>
    <tableColumn id="12" xr3:uid="{90BB1506-FE1F-49A8-9B6D-303C641633EC}" name="Warranty" dataDxfId="12" totalsRowDxfId="13"/>
    <tableColumn id="13" xr3:uid="{DEEA9B29-CFCC-470F-B1F5-0C5CE5C35F24}" name="Serial No." dataDxfId="10" totalsRowDxfId="11"/>
    <tableColumn id="14" xr3:uid="{7894AC0C-8D35-45E3-B53D-05072A29FE99}" name="TCP" dataDxfId="8" totalsRowDxfId="9"/>
    <tableColumn id="15" xr3:uid="{F663C997-DF67-4018-8724-0E59A5144062}" name="Downpayment " dataDxfId="6" totalsRowDxfId="7"/>
    <tableColumn id="16" xr3:uid="{7825942F-285C-4554-84B4-5EAD2A4CE81D}" name="Monthly Terms" dataDxfId="4" totalsRowDxfId="5"/>
    <tableColumn id="17" xr3:uid="{F8148416-3D60-4326-AF3C-B1A4C6529F76}" name="Inclusion" dataDxfId="2" totalsRowDxfId="3"/>
    <tableColumn id="18" xr3:uid="{13E34E2D-C463-4B41-B70A-1A2BF1DEA2BC}" name="Remarks" dataDxfId="0" totalsRowDxfId="1"/>
  </tableColumns>
  <tableStyleInfo name="Machine Info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062A-F53B-4CFA-95AC-78DEDA7AFA03}">
  <dimension ref="A1:S369"/>
  <sheetViews>
    <sheetView tabSelected="1" workbookViewId="0">
      <selection sqref="A1:S369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9" t="s">
        <v>18</v>
      </c>
    </row>
    <row r="2" spans="1:19" x14ac:dyDescent="0.25">
      <c r="A2" s="10">
        <f t="shared" ref="A2:A65" si="0">YEAR($C2)</f>
        <v>2016</v>
      </c>
      <c r="B2" s="11" t="str">
        <f t="shared" ref="B2:B65" si="1">TEXT(C2,"mmmm")</f>
        <v>March</v>
      </c>
      <c r="C2" s="12">
        <v>42445</v>
      </c>
      <c r="D2" s="8"/>
      <c r="E2" s="7" cm="1">
        <f t="array" ref="E2">_xlfn.XMATCH(F2&amp;G2&amp;H2, _xlfn.UNIQUE(F$2:F$369 &amp; G$2:G$369 &amp; H$2:H$369))</f>
        <v>1</v>
      </c>
      <c r="F2" s="8" t="s">
        <v>19</v>
      </c>
      <c r="G2" s="8" t="s">
        <v>20</v>
      </c>
      <c r="H2" s="8" t="s">
        <v>21</v>
      </c>
      <c r="I2" s="8"/>
      <c r="J2" s="7"/>
      <c r="K2" s="8" t="s">
        <v>22</v>
      </c>
      <c r="L2" s="8" t="s">
        <v>23</v>
      </c>
      <c r="M2" s="8"/>
      <c r="N2" s="8" t="s">
        <v>24</v>
      </c>
      <c r="O2" s="13"/>
      <c r="P2" s="14"/>
      <c r="Q2" s="7"/>
      <c r="R2" s="8"/>
      <c r="S2" s="15"/>
    </row>
    <row r="3" spans="1:19" x14ac:dyDescent="0.25">
      <c r="A3" s="10">
        <f t="shared" si="0"/>
        <v>2016</v>
      </c>
      <c r="B3" s="11" t="str">
        <f t="shared" si="1"/>
        <v>March</v>
      </c>
      <c r="C3" s="12">
        <v>42445</v>
      </c>
      <c r="D3" s="8"/>
      <c r="E3" s="7" cm="1">
        <f t="array" ref="E3">_xlfn.XMATCH(F3&amp;G3&amp;H3, _xlfn.UNIQUE(F$2:F$369 &amp; G$2:G$369 &amp; H$2:H$369))</f>
        <v>2</v>
      </c>
      <c r="F3" s="8" t="s">
        <v>25</v>
      </c>
      <c r="G3" s="8" t="s">
        <v>26</v>
      </c>
      <c r="H3" s="8" t="s">
        <v>27</v>
      </c>
      <c r="I3" s="8"/>
      <c r="J3" s="7"/>
      <c r="K3" s="8" t="s">
        <v>22</v>
      </c>
      <c r="L3" s="8" t="s">
        <v>28</v>
      </c>
      <c r="M3" s="8"/>
      <c r="N3" s="8"/>
      <c r="O3" s="13"/>
      <c r="P3" s="14"/>
      <c r="Q3" s="7"/>
      <c r="R3" s="8"/>
      <c r="S3" s="15"/>
    </row>
    <row r="4" spans="1:19" x14ac:dyDescent="0.25">
      <c r="A4" s="10">
        <f t="shared" si="0"/>
        <v>2016</v>
      </c>
      <c r="B4" s="11" t="str">
        <f t="shared" si="1"/>
        <v>March</v>
      </c>
      <c r="C4" s="12">
        <v>42445</v>
      </c>
      <c r="D4" s="8"/>
      <c r="E4" s="7" cm="1">
        <f t="array" ref="E4">_xlfn.XMATCH(F4&amp;G4&amp;H4, _xlfn.UNIQUE(F$2:F$369 &amp; G$2:G$369 &amp; H$2:H$369))</f>
        <v>3</v>
      </c>
      <c r="F4" s="8" t="s">
        <v>29</v>
      </c>
      <c r="G4" s="8" t="s">
        <v>30</v>
      </c>
      <c r="H4" s="8" t="s">
        <v>21</v>
      </c>
      <c r="I4" s="8"/>
      <c r="J4" s="7"/>
      <c r="K4" s="8" t="s">
        <v>22</v>
      </c>
      <c r="L4" s="8" t="s">
        <v>28</v>
      </c>
      <c r="M4" s="8"/>
      <c r="N4" s="8" t="s">
        <v>31</v>
      </c>
      <c r="O4" s="13"/>
      <c r="P4" s="14"/>
      <c r="Q4" s="7"/>
      <c r="R4" s="8"/>
      <c r="S4" s="15"/>
    </row>
    <row r="5" spans="1:19" x14ac:dyDescent="0.25">
      <c r="A5" s="10">
        <f t="shared" si="0"/>
        <v>2016</v>
      </c>
      <c r="B5" s="11" t="str">
        <f t="shared" si="1"/>
        <v>March</v>
      </c>
      <c r="C5" s="12">
        <v>42445</v>
      </c>
      <c r="D5" s="8"/>
      <c r="E5" s="7" cm="1">
        <f t="array" ref="E5">_xlfn.XMATCH(F5&amp;G5&amp;H5, _xlfn.UNIQUE(F$2:F$369 &amp; G$2:G$369 &amp; H$2:H$369))</f>
        <v>4</v>
      </c>
      <c r="F5" s="8" t="s">
        <v>32</v>
      </c>
      <c r="G5" s="8" t="s">
        <v>26</v>
      </c>
      <c r="H5" s="8" t="s">
        <v>27</v>
      </c>
      <c r="I5" s="8"/>
      <c r="J5" s="7"/>
      <c r="K5" s="8" t="s">
        <v>22</v>
      </c>
      <c r="L5" s="8" t="s">
        <v>28</v>
      </c>
      <c r="M5" s="8"/>
      <c r="N5" s="8"/>
      <c r="O5" s="13"/>
      <c r="P5" s="14"/>
      <c r="Q5" s="7"/>
      <c r="R5" s="8"/>
      <c r="S5" s="15"/>
    </row>
    <row r="6" spans="1:19" x14ac:dyDescent="0.25">
      <c r="A6" s="10">
        <f t="shared" si="0"/>
        <v>2016</v>
      </c>
      <c r="B6" s="11" t="str">
        <f t="shared" si="1"/>
        <v>March</v>
      </c>
      <c r="C6" s="12">
        <v>42445</v>
      </c>
      <c r="D6" s="8"/>
      <c r="E6" s="7" cm="1">
        <f t="array" ref="E6">_xlfn.XMATCH(F6&amp;G6&amp;H6, _xlfn.UNIQUE(F$2:F$369 &amp; G$2:G$369 &amp; H$2:H$369))</f>
        <v>5</v>
      </c>
      <c r="F6" s="8" t="s">
        <v>33</v>
      </c>
      <c r="G6" s="8" t="s">
        <v>30</v>
      </c>
      <c r="H6" s="8" t="s">
        <v>21</v>
      </c>
      <c r="I6" s="8"/>
      <c r="J6" s="7"/>
      <c r="K6" s="8" t="s">
        <v>22</v>
      </c>
      <c r="L6" s="8" t="s">
        <v>28</v>
      </c>
      <c r="M6" s="8"/>
      <c r="N6" s="8"/>
      <c r="O6" s="13"/>
      <c r="P6" s="14"/>
      <c r="Q6" s="7"/>
      <c r="R6" s="8"/>
      <c r="S6" s="15"/>
    </row>
    <row r="7" spans="1:19" x14ac:dyDescent="0.25">
      <c r="A7" s="10">
        <f t="shared" si="0"/>
        <v>2019</v>
      </c>
      <c r="B7" s="11" t="str">
        <f t="shared" si="1"/>
        <v>April</v>
      </c>
      <c r="C7" s="12">
        <v>43561</v>
      </c>
      <c r="D7" s="8" t="s">
        <v>34</v>
      </c>
      <c r="E7" s="7" cm="1">
        <f t="array" ref="E7">_xlfn.XMATCH(F7&amp;G7&amp;H7, _xlfn.UNIQUE(F$2:F$369 &amp; G$2:G$369 &amp; H$2:H$369))</f>
        <v>6</v>
      </c>
      <c r="F7" s="8" t="s">
        <v>35</v>
      </c>
      <c r="G7" s="8" t="s">
        <v>36</v>
      </c>
      <c r="H7" s="8" t="s">
        <v>37</v>
      </c>
      <c r="I7" s="8"/>
      <c r="J7" s="7"/>
      <c r="K7" s="8" t="s">
        <v>22</v>
      </c>
      <c r="L7" s="8" t="s">
        <v>38</v>
      </c>
      <c r="M7" s="8"/>
      <c r="N7" s="8"/>
      <c r="O7" s="13">
        <v>385000</v>
      </c>
      <c r="P7" s="14">
        <v>0.4</v>
      </c>
      <c r="Q7" s="7">
        <v>12</v>
      </c>
      <c r="R7" s="8" t="s">
        <v>39</v>
      </c>
      <c r="S7" s="15"/>
    </row>
    <row r="8" spans="1:19" x14ac:dyDescent="0.25">
      <c r="A8" s="10">
        <f t="shared" si="0"/>
        <v>2019</v>
      </c>
      <c r="B8" s="11" t="str">
        <f t="shared" si="1"/>
        <v>April</v>
      </c>
      <c r="C8" s="12">
        <v>43575</v>
      </c>
      <c r="D8" s="8" t="s">
        <v>40</v>
      </c>
      <c r="E8" s="7" cm="1">
        <f t="array" ref="E8">_xlfn.XMATCH(F8&amp;G8&amp;H8, _xlfn.UNIQUE(F$2:F$369 &amp; G$2:G$369 &amp; H$2:H$369))</f>
        <v>7</v>
      </c>
      <c r="F8" s="8" t="s">
        <v>41</v>
      </c>
      <c r="G8" s="8" t="s">
        <v>26</v>
      </c>
      <c r="H8" s="8" t="s">
        <v>27</v>
      </c>
      <c r="I8" s="8"/>
      <c r="J8" s="7"/>
      <c r="K8" s="8" t="s">
        <v>22</v>
      </c>
      <c r="L8" s="8" t="s">
        <v>38</v>
      </c>
      <c r="M8" s="8"/>
      <c r="N8" s="8"/>
      <c r="O8" s="13">
        <v>400000</v>
      </c>
      <c r="P8" s="14">
        <v>0.4</v>
      </c>
      <c r="Q8" s="7">
        <v>16</v>
      </c>
      <c r="R8" s="8" t="s">
        <v>42</v>
      </c>
      <c r="S8" s="15"/>
    </row>
    <row r="9" spans="1:19" x14ac:dyDescent="0.25">
      <c r="A9" s="10">
        <f t="shared" si="0"/>
        <v>2019</v>
      </c>
      <c r="B9" s="11" t="str">
        <f t="shared" si="1"/>
        <v>June</v>
      </c>
      <c r="C9" s="12">
        <v>43627</v>
      </c>
      <c r="D9" s="8" t="s">
        <v>43</v>
      </c>
      <c r="E9" s="7" cm="1">
        <f t="array" ref="E9">_xlfn.XMATCH(F9&amp;G9&amp;H9, _xlfn.UNIQUE(F$2:F$369 &amp; G$2:G$369 &amp; H$2:H$369))</f>
        <v>8</v>
      </c>
      <c r="F9" s="8" t="s">
        <v>44</v>
      </c>
      <c r="G9" s="8" t="s">
        <v>45</v>
      </c>
      <c r="H9" s="8" t="s">
        <v>46</v>
      </c>
      <c r="I9" s="8"/>
      <c r="J9" s="7"/>
      <c r="K9" s="8" t="s">
        <v>22</v>
      </c>
      <c r="L9" s="8" t="s">
        <v>38</v>
      </c>
      <c r="M9" s="8"/>
      <c r="N9" s="8"/>
      <c r="O9" s="13">
        <v>400000</v>
      </c>
      <c r="P9" s="14">
        <v>0.4</v>
      </c>
      <c r="Q9" s="7">
        <v>18</v>
      </c>
      <c r="R9" s="8" t="s">
        <v>39</v>
      </c>
      <c r="S9" s="15"/>
    </row>
    <row r="10" spans="1:19" x14ac:dyDescent="0.25">
      <c r="A10" s="10">
        <f t="shared" si="0"/>
        <v>2019</v>
      </c>
      <c r="B10" s="11" t="str">
        <f t="shared" si="1"/>
        <v>July</v>
      </c>
      <c r="C10" s="12">
        <v>43657</v>
      </c>
      <c r="D10" s="8" t="s">
        <v>47</v>
      </c>
      <c r="E10" s="7" cm="1">
        <f t="array" ref="E10">_xlfn.XMATCH(F10&amp;G10&amp;H10, _xlfn.UNIQUE(F$2:F$369 &amp; G$2:G$369 &amp; H$2:H$369))</f>
        <v>9</v>
      </c>
      <c r="F10" s="8" t="s">
        <v>48</v>
      </c>
      <c r="G10" s="8" t="s">
        <v>26</v>
      </c>
      <c r="H10" s="8" t="s">
        <v>27</v>
      </c>
      <c r="I10" s="8"/>
      <c r="J10" s="7"/>
      <c r="K10" s="8" t="s">
        <v>22</v>
      </c>
      <c r="L10" s="8" t="s">
        <v>38</v>
      </c>
      <c r="M10" s="8"/>
      <c r="N10" s="8"/>
      <c r="O10" s="13">
        <v>400000</v>
      </c>
      <c r="P10" s="14">
        <v>0.3</v>
      </c>
      <c r="Q10" s="7">
        <v>18</v>
      </c>
      <c r="R10" s="8" t="s">
        <v>42</v>
      </c>
      <c r="S10" s="15"/>
    </row>
    <row r="11" spans="1:19" x14ac:dyDescent="0.25">
      <c r="A11" s="10">
        <f t="shared" si="0"/>
        <v>2019</v>
      </c>
      <c r="B11" s="11" t="str">
        <f t="shared" si="1"/>
        <v>August</v>
      </c>
      <c r="C11" s="12">
        <v>43683</v>
      </c>
      <c r="D11" s="8" t="s">
        <v>49</v>
      </c>
      <c r="E11" s="7" cm="1">
        <f t="array" ref="E11">_xlfn.XMATCH(F11&amp;G11&amp;H11, _xlfn.UNIQUE(F$2:F$369 &amp; G$2:G$369 &amp; H$2:H$369))</f>
        <v>10</v>
      </c>
      <c r="F11" s="8" t="s">
        <v>50</v>
      </c>
      <c r="G11" s="8" t="s">
        <v>51</v>
      </c>
      <c r="H11" s="8" t="s">
        <v>52</v>
      </c>
      <c r="I11" s="8"/>
      <c r="J11" s="7"/>
      <c r="K11" s="8" t="s">
        <v>22</v>
      </c>
      <c r="L11" s="8" t="s">
        <v>38</v>
      </c>
      <c r="M11" s="8"/>
      <c r="N11" s="8"/>
      <c r="O11" s="13">
        <v>385000</v>
      </c>
      <c r="P11" s="14">
        <v>0.4</v>
      </c>
      <c r="Q11" s="7">
        <v>18</v>
      </c>
      <c r="R11" s="8" t="s">
        <v>39</v>
      </c>
      <c r="S11" s="15"/>
    </row>
    <row r="12" spans="1:19" x14ac:dyDescent="0.25">
      <c r="A12" s="10">
        <f t="shared" si="0"/>
        <v>2019</v>
      </c>
      <c r="B12" s="11" t="str">
        <f t="shared" si="1"/>
        <v>September</v>
      </c>
      <c r="C12" s="12">
        <v>43728</v>
      </c>
      <c r="D12" s="8" t="s">
        <v>53</v>
      </c>
      <c r="E12" s="7" cm="1">
        <f t="array" ref="E12">_xlfn.XMATCH(F12&amp;G12&amp;H12, _xlfn.UNIQUE(F$2:F$369 &amp; G$2:G$369 &amp; H$2:H$369))</f>
        <v>11</v>
      </c>
      <c r="F12" s="8" t="s">
        <v>54</v>
      </c>
      <c r="G12" s="8" t="s">
        <v>55</v>
      </c>
      <c r="H12" s="8" t="s">
        <v>56</v>
      </c>
      <c r="I12" s="8"/>
      <c r="J12" s="7"/>
      <c r="K12" s="8" t="s">
        <v>22</v>
      </c>
      <c r="L12" s="8" t="s">
        <v>38</v>
      </c>
      <c r="M12" s="8"/>
      <c r="N12" s="16" t="s">
        <v>57</v>
      </c>
      <c r="O12" s="13">
        <v>400000</v>
      </c>
      <c r="P12" s="14">
        <v>0.3</v>
      </c>
      <c r="Q12" s="7">
        <v>24</v>
      </c>
      <c r="R12" s="8" t="s">
        <v>42</v>
      </c>
      <c r="S12" s="15"/>
    </row>
    <row r="13" spans="1:19" x14ac:dyDescent="0.25">
      <c r="A13" s="10">
        <f t="shared" si="0"/>
        <v>2019</v>
      </c>
      <c r="B13" s="11" t="str">
        <f t="shared" si="1"/>
        <v>December</v>
      </c>
      <c r="C13" s="12">
        <v>43801</v>
      </c>
      <c r="D13" s="8" t="s">
        <v>58</v>
      </c>
      <c r="E13" s="7" cm="1">
        <f t="array" ref="E13">_xlfn.XMATCH(F13&amp;G13&amp;H13, _xlfn.UNIQUE(F$2:F$369 &amp; G$2:G$369 &amp; H$2:H$369))</f>
        <v>12</v>
      </c>
      <c r="F13" s="8" t="s">
        <v>59</v>
      </c>
      <c r="G13" s="8" t="s">
        <v>60</v>
      </c>
      <c r="H13" s="8" t="s">
        <v>52</v>
      </c>
      <c r="I13" s="8"/>
      <c r="J13" s="7"/>
      <c r="K13" s="8" t="s">
        <v>22</v>
      </c>
      <c r="L13" s="8" t="s">
        <v>38</v>
      </c>
      <c r="M13" s="8"/>
      <c r="N13" s="8"/>
      <c r="O13" s="13">
        <v>400000</v>
      </c>
      <c r="P13" s="14">
        <v>0.4</v>
      </c>
      <c r="Q13" s="7">
        <v>12</v>
      </c>
      <c r="R13" s="8" t="s">
        <v>39</v>
      </c>
      <c r="S13" s="15"/>
    </row>
    <row r="14" spans="1:19" x14ac:dyDescent="0.25">
      <c r="A14" s="10">
        <f t="shared" si="0"/>
        <v>2020</v>
      </c>
      <c r="B14" s="11" t="str">
        <f t="shared" si="1"/>
        <v>July</v>
      </c>
      <c r="C14" s="12">
        <v>44037</v>
      </c>
      <c r="D14" s="8" t="s">
        <v>61</v>
      </c>
      <c r="E14" s="7" cm="1">
        <f t="array" ref="E14">_xlfn.XMATCH(F14&amp;G14&amp;H14, _xlfn.UNIQUE(F$2:F$369 &amp; G$2:G$369 &amp; H$2:H$369))</f>
        <v>13</v>
      </c>
      <c r="F14" s="8" t="s">
        <v>62</v>
      </c>
      <c r="G14" s="8" t="s">
        <v>63</v>
      </c>
      <c r="H14" s="8" t="s">
        <v>64</v>
      </c>
      <c r="I14" s="8"/>
      <c r="J14" s="7"/>
      <c r="K14" s="8" t="s">
        <v>22</v>
      </c>
      <c r="L14" s="8" t="s">
        <v>38</v>
      </c>
      <c r="M14" s="8"/>
      <c r="N14" s="8"/>
      <c r="O14" s="13">
        <v>350000</v>
      </c>
      <c r="P14" s="14">
        <v>0.4</v>
      </c>
      <c r="Q14" s="7">
        <v>8</v>
      </c>
      <c r="R14" s="8" t="s">
        <v>65</v>
      </c>
      <c r="S14" s="15"/>
    </row>
    <row r="15" spans="1:19" x14ac:dyDescent="0.25">
      <c r="A15" s="10">
        <f t="shared" si="0"/>
        <v>2020</v>
      </c>
      <c r="B15" s="11" t="str">
        <f t="shared" si="1"/>
        <v>July</v>
      </c>
      <c r="C15" s="12">
        <v>44038</v>
      </c>
      <c r="D15" s="8" t="s">
        <v>66</v>
      </c>
      <c r="E15" s="7" cm="1">
        <f t="array" ref="E15">_xlfn.XMATCH(F15&amp;G15&amp;H15, _xlfn.UNIQUE(F$2:F$369 &amp; G$2:G$369 &amp; H$2:H$369))</f>
        <v>14</v>
      </c>
      <c r="F15" s="8" t="s">
        <v>59</v>
      </c>
      <c r="G15" s="8" t="s">
        <v>67</v>
      </c>
      <c r="H15" s="8" t="s">
        <v>52</v>
      </c>
      <c r="I15" s="8"/>
      <c r="J15" s="7"/>
      <c r="K15" s="8" t="s">
        <v>68</v>
      </c>
      <c r="L15" s="8" t="s">
        <v>69</v>
      </c>
      <c r="M15" s="8"/>
      <c r="N15" s="8"/>
      <c r="O15" s="13">
        <v>350000</v>
      </c>
      <c r="P15" s="14"/>
      <c r="Q15" s="7" t="s">
        <v>70</v>
      </c>
      <c r="R15" s="8" t="s">
        <v>71</v>
      </c>
      <c r="S15" s="15"/>
    </row>
    <row r="16" spans="1:19" x14ac:dyDescent="0.25">
      <c r="A16" s="10">
        <f t="shared" si="0"/>
        <v>2020</v>
      </c>
      <c r="B16" s="11" t="str">
        <f t="shared" si="1"/>
        <v>July</v>
      </c>
      <c r="C16" s="12">
        <v>44039</v>
      </c>
      <c r="D16" s="8" t="s">
        <v>72</v>
      </c>
      <c r="E16" s="7" cm="1">
        <f t="array" ref="E16">_xlfn.XMATCH(F16&amp;G16&amp;H16, _xlfn.UNIQUE(F$2:F$369 &amp; G$2:G$369 &amp; H$2:H$369))</f>
        <v>15</v>
      </c>
      <c r="F16" s="8" t="s">
        <v>73</v>
      </c>
      <c r="G16" s="8" t="s">
        <v>74</v>
      </c>
      <c r="H16" s="8" t="s">
        <v>75</v>
      </c>
      <c r="I16" s="8"/>
      <c r="J16" s="7"/>
      <c r="K16" s="8" t="s">
        <v>22</v>
      </c>
      <c r="L16" s="8" t="s">
        <v>38</v>
      </c>
      <c r="M16" s="8"/>
      <c r="N16" s="8" t="s">
        <v>76</v>
      </c>
      <c r="O16" s="13">
        <v>350000</v>
      </c>
      <c r="P16" s="14"/>
      <c r="Q16" s="7" t="s">
        <v>70</v>
      </c>
      <c r="R16" s="8" t="s">
        <v>39</v>
      </c>
      <c r="S16" s="15"/>
    </row>
    <row r="17" spans="1:19" x14ac:dyDescent="0.25">
      <c r="A17" s="10">
        <f t="shared" si="0"/>
        <v>2020</v>
      </c>
      <c r="B17" s="11" t="str">
        <f t="shared" si="1"/>
        <v>August</v>
      </c>
      <c r="C17" s="12">
        <v>44071</v>
      </c>
      <c r="D17" s="8" t="s">
        <v>77</v>
      </c>
      <c r="E17" s="7" cm="1">
        <f t="array" ref="E17">_xlfn.XMATCH(F17&amp;G17&amp;H17, _xlfn.UNIQUE(F$2:F$369 &amp; G$2:G$369 &amp; H$2:H$369))</f>
        <v>9</v>
      </c>
      <c r="F17" s="8" t="s">
        <v>48</v>
      </c>
      <c r="G17" s="8" t="s">
        <v>26</v>
      </c>
      <c r="H17" s="8" t="s">
        <v>27</v>
      </c>
      <c r="I17" s="8"/>
      <c r="J17" s="7"/>
      <c r="K17" s="8" t="s">
        <v>78</v>
      </c>
      <c r="L17" s="8" t="s">
        <v>79</v>
      </c>
      <c r="M17" s="8"/>
      <c r="N17" s="7" t="s">
        <v>80</v>
      </c>
      <c r="O17" s="13">
        <v>300000</v>
      </c>
      <c r="P17" s="14">
        <v>0.53</v>
      </c>
      <c r="Q17" s="7">
        <v>36</v>
      </c>
      <c r="R17" s="8" t="s">
        <v>81</v>
      </c>
      <c r="S17" s="15"/>
    </row>
    <row r="18" spans="1:19" x14ac:dyDescent="0.25">
      <c r="A18" s="10">
        <f t="shared" si="0"/>
        <v>2020</v>
      </c>
      <c r="B18" s="11" t="str">
        <f t="shared" si="1"/>
        <v>August</v>
      </c>
      <c r="C18" s="12">
        <v>44071</v>
      </c>
      <c r="D18" s="8" t="s">
        <v>82</v>
      </c>
      <c r="E18" s="7" cm="1">
        <f t="array" ref="E18">_xlfn.XMATCH(F18&amp;G18&amp;H18, _xlfn.UNIQUE(F$2:F$369 &amp; G$2:G$369 &amp; H$2:H$369))</f>
        <v>15</v>
      </c>
      <c r="F18" s="8" t="s">
        <v>73</v>
      </c>
      <c r="G18" s="8" t="s">
        <v>74</v>
      </c>
      <c r="H18" s="8" t="s">
        <v>75</v>
      </c>
      <c r="I18" s="8" t="s">
        <v>83</v>
      </c>
      <c r="J18" s="7"/>
      <c r="K18" s="8" t="s">
        <v>22</v>
      </c>
      <c r="L18" s="8" t="s">
        <v>38</v>
      </c>
      <c r="M18" s="8" t="s">
        <v>84</v>
      </c>
      <c r="N18" s="8" t="s">
        <v>85</v>
      </c>
      <c r="O18" s="13">
        <v>400000</v>
      </c>
      <c r="P18" s="14">
        <v>0.25</v>
      </c>
      <c r="Q18" s="7">
        <v>12</v>
      </c>
      <c r="R18" s="8" t="s">
        <v>39</v>
      </c>
      <c r="S18" s="15"/>
    </row>
    <row r="19" spans="1:19" ht="16.5" x14ac:dyDescent="0.25">
      <c r="A19" s="10">
        <f t="shared" si="0"/>
        <v>2020</v>
      </c>
      <c r="B19" s="11" t="str">
        <f t="shared" si="1"/>
        <v>August</v>
      </c>
      <c r="C19" s="12">
        <v>44071</v>
      </c>
      <c r="D19" s="8" t="s">
        <v>86</v>
      </c>
      <c r="E19" s="7" cm="1">
        <f t="array" ref="E19">_xlfn.XMATCH(F19&amp;G19&amp;H19, _xlfn.UNIQUE(F$2:F$369 &amp; G$2:G$369 &amp; H$2:H$369))</f>
        <v>16</v>
      </c>
      <c r="F19" s="8" t="s">
        <v>87</v>
      </c>
      <c r="G19" s="8" t="s">
        <v>88</v>
      </c>
      <c r="H19" s="8" t="s">
        <v>21</v>
      </c>
      <c r="I19" s="8"/>
      <c r="J19" s="7"/>
      <c r="K19" s="8" t="s">
        <v>22</v>
      </c>
      <c r="L19" s="8" t="s">
        <v>38</v>
      </c>
      <c r="M19" s="8" t="s">
        <v>84</v>
      </c>
      <c r="N19" s="17" t="s">
        <v>89</v>
      </c>
      <c r="O19" s="13">
        <v>350000</v>
      </c>
      <c r="P19" s="14">
        <v>0.2</v>
      </c>
      <c r="Q19" s="7">
        <v>12</v>
      </c>
      <c r="R19" s="8" t="s">
        <v>39</v>
      </c>
      <c r="S19" s="15"/>
    </row>
    <row r="20" spans="1:19" x14ac:dyDescent="0.25">
      <c r="A20" s="10">
        <f t="shared" si="0"/>
        <v>2020</v>
      </c>
      <c r="B20" s="11" t="str">
        <f t="shared" si="1"/>
        <v>September</v>
      </c>
      <c r="C20" s="12">
        <v>44085</v>
      </c>
      <c r="D20" s="8" t="s">
        <v>90</v>
      </c>
      <c r="E20" s="7" cm="1">
        <f t="array" ref="E20">_xlfn.XMATCH(F20&amp;G20&amp;H20, _xlfn.UNIQUE(F$2:F$369 &amp; G$2:G$369 &amp; H$2:H$369))</f>
        <v>8</v>
      </c>
      <c r="F20" s="8" t="s">
        <v>44</v>
      </c>
      <c r="G20" s="8" t="s">
        <v>45</v>
      </c>
      <c r="H20" s="8" t="s">
        <v>46</v>
      </c>
      <c r="I20" s="8"/>
      <c r="J20" s="7"/>
      <c r="K20" s="8" t="s">
        <v>91</v>
      </c>
      <c r="L20" s="8" t="s">
        <v>92</v>
      </c>
      <c r="M20" s="8" t="s">
        <v>84</v>
      </c>
      <c r="N20" s="8"/>
      <c r="O20" s="13">
        <v>250000</v>
      </c>
      <c r="P20" s="14"/>
      <c r="Q20" s="7" t="s">
        <v>70</v>
      </c>
      <c r="R20" s="8" t="s">
        <v>93</v>
      </c>
      <c r="S20" s="15"/>
    </row>
    <row r="21" spans="1:19" x14ac:dyDescent="0.25">
      <c r="A21" s="10">
        <f t="shared" si="0"/>
        <v>2020</v>
      </c>
      <c r="B21" s="11" t="str">
        <f t="shared" si="1"/>
        <v>September</v>
      </c>
      <c r="C21" s="12">
        <v>44096</v>
      </c>
      <c r="D21" s="8" t="s">
        <v>94</v>
      </c>
      <c r="E21" s="7" cm="1">
        <f t="array" ref="E21">_xlfn.XMATCH(F21&amp;G21&amp;H21, _xlfn.UNIQUE(F$2:F$369 &amp; G$2:G$369 &amp; H$2:H$369))</f>
        <v>14</v>
      </c>
      <c r="F21" s="8" t="s">
        <v>59</v>
      </c>
      <c r="G21" s="8" t="s">
        <v>67</v>
      </c>
      <c r="H21" s="8" t="s">
        <v>52</v>
      </c>
      <c r="I21" s="8"/>
      <c r="J21" s="7"/>
      <c r="K21" s="8" t="s">
        <v>78</v>
      </c>
      <c r="L21" s="8" t="s">
        <v>79</v>
      </c>
      <c r="M21" s="8" t="s">
        <v>84</v>
      </c>
      <c r="N21" s="7" t="s">
        <v>95</v>
      </c>
      <c r="O21" s="13">
        <v>350000</v>
      </c>
      <c r="P21" s="14">
        <v>0.45</v>
      </c>
      <c r="Q21" s="7">
        <v>3</v>
      </c>
      <c r="R21" s="8" t="s">
        <v>81</v>
      </c>
      <c r="S21" s="15"/>
    </row>
    <row r="22" spans="1:19" x14ac:dyDescent="0.25">
      <c r="A22" s="10">
        <f t="shared" si="0"/>
        <v>2020</v>
      </c>
      <c r="B22" s="11" t="str">
        <f t="shared" si="1"/>
        <v>September</v>
      </c>
      <c r="C22" s="12">
        <v>44096</v>
      </c>
      <c r="D22" s="8" t="s">
        <v>94</v>
      </c>
      <c r="E22" s="7" cm="1">
        <f t="array" ref="E22">_xlfn.XMATCH(F22&amp;G22&amp;H22, _xlfn.UNIQUE(F$2:F$369 &amp; G$2:G$369 &amp; H$2:H$369))</f>
        <v>17</v>
      </c>
      <c r="F22" s="8" t="s">
        <v>96</v>
      </c>
      <c r="G22" s="8" t="s">
        <v>97</v>
      </c>
      <c r="H22" s="8" t="s">
        <v>64</v>
      </c>
      <c r="I22" s="8"/>
      <c r="J22" s="7"/>
      <c r="K22" s="8" t="s">
        <v>22</v>
      </c>
      <c r="L22" s="8" t="s">
        <v>38</v>
      </c>
      <c r="M22" s="8"/>
      <c r="N22" s="8" t="s">
        <v>98</v>
      </c>
      <c r="O22" s="13">
        <v>350000</v>
      </c>
      <c r="P22" s="14">
        <v>0.45</v>
      </c>
      <c r="Q22" s="7">
        <v>3</v>
      </c>
      <c r="R22" s="8" t="s">
        <v>42</v>
      </c>
      <c r="S22" s="15"/>
    </row>
    <row r="23" spans="1:19" x14ac:dyDescent="0.25">
      <c r="A23" s="10">
        <f t="shared" si="0"/>
        <v>2020</v>
      </c>
      <c r="B23" s="11" t="str">
        <f t="shared" si="1"/>
        <v>October</v>
      </c>
      <c r="C23" s="12">
        <v>44125</v>
      </c>
      <c r="D23" s="8" t="s">
        <v>99</v>
      </c>
      <c r="E23" s="7" cm="1">
        <f t="array" ref="E23">_xlfn.XMATCH(F23&amp;G23&amp;H23, _xlfn.UNIQUE(F$2:F$369 &amp; G$2:G$369 &amp; H$2:H$369))</f>
        <v>18</v>
      </c>
      <c r="F23" s="8" t="s">
        <v>35</v>
      </c>
      <c r="G23" s="8" t="s">
        <v>100</v>
      </c>
      <c r="H23" s="8" t="s">
        <v>37</v>
      </c>
      <c r="I23" s="8"/>
      <c r="J23" s="7"/>
      <c r="K23" s="8" t="s">
        <v>78</v>
      </c>
      <c r="L23" s="8" t="s">
        <v>79</v>
      </c>
      <c r="M23" s="8" t="s">
        <v>84</v>
      </c>
      <c r="N23" s="7">
        <v>22130</v>
      </c>
      <c r="O23" s="13">
        <v>350000</v>
      </c>
      <c r="P23" s="14">
        <v>0.55000000000000004</v>
      </c>
      <c r="Q23" s="7">
        <v>6</v>
      </c>
      <c r="R23" s="8"/>
      <c r="S23" s="15"/>
    </row>
    <row r="24" spans="1:19" x14ac:dyDescent="0.25">
      <c r="A24" s="10">
        <f t="shared" si="0"/>
        <v>2020</v>
      </c>
      <c r="B24" s="11" t="str">
        <f t="shared" si="1"/>
        <v>October</v>
      </c>
      <c r="C24" s="12">
        <v>44125</v>
      </c>
      <c r="D24" s="8" t="s">
        <v>101</v>
      </c>
      <c r="E24" s="7" cm="1">
        <f t="array" ref="E24">_xlfn.XMATCH(F24&amp;G24&amp;H24, _xlfn.UNIQUE(F$2:F$369 &amp; G$2:G$369 &amp; H$2:H$369))</f>
        <v>19</v>
      </c>
      <c r="F24" s="8" t="s">
        <v>102</v>
      </c>
      <c r="G24" s="8" t="s">
        <v>103</v>
      </c>
      <c r="H24" s="8" t="s">
        <v>37</v>
      </c>
      <c r="I24" s="8"/>
      <c r="J24" s="7"/>
      <c r="K24" s="8" t="s">
        <v>22</v>
      </c>
      <c r="L24" s="8" t="s">
        <v>38</v>
      </c>
      <c r="M24" s="8" t="s">
        <v>84</v>
      </c>
      <c r="N24" s="8" t="s">
        <v>104</v>
      </c>
      <c r="O24" s="13">
        <v>350000</v>
      </c>
      <c r="P24" s="14">
        <v>0.42</v>
      </c>
      <c r="Q24" s="7">
        <v>24</v>
      </c>
      <c r="R24" s="8" t="s">
        <v>39</v>
      </c>
      <c r="S24" s="15"/>
    </row>
    <row r="25" spans="1:19" x14ac:dyDescent="0.25">
      <c r="A25" s="10">
        <f t="shared" si="0"/>
        <v>2020</v>
      </c>
      <c r="B25" s="11" t="str">
        <f t="shared" si="1"/>
        <v>October</v>
      </c>
      <c r="C25" s="12">
        <v>44126</v>
      </c>
      <c r="D25" s="8" t="s">
        <v>105</v>
      </c>
      <c r="E25" s="7" cm="1">
        <f t="array" ref="E25">_xlfn.XMATCH(F25&amp;G25&amp;H25, _xlfn.UNIQUE(F$2:F$369 &amp; G$2:G$369 &amp; H$2:H$369))</f>
        <v>9</v>
      </c>
      <c r="F25" s="8" t="s">
        <v>48</v>
      </c>
      <c r="G25" s="8" t="s">
        <v>26</v>
      </c>
      <c r="H25" s="8" t="s">
        <v>27</v>
      </c>
      <c r="I25" s="8"/>
      <c r="J25" s="7"/>
      <c r="K25" s="8" t="s">
        <v>106</v>
      </c>
      <c r="L25" s="8" t="s">
        <v>107</v>
      </c>
      <c r="M25" s="8" t="s">
        <v>84</v>
      </c>
      <c r="N25" s="8"/>
      <c r="O25" s="13">
        <v>59500</v>
      </c>
      <c r="P25" s="14"/>
      <c r="Q25" s="7" t="s">
        <v>70</v>
      </c>
      <c r="R25" s="8"/>
      <c r="S25" s="15"/>
    </row>
    <row r="26" spans="1:19" x14ac:dyDescent="0.25">
      <c r="A26" s="10">
        <f t="shared" si="0"/>
        <v>2020</v>
      </c>
      <c r="B26" s="11" t="str">
        <f t="shared" si="1"/>
        <v>October</v>
      </c>
      <c r="C26" s="12">
        <v>44128</v>
      </c>
      <c r="D26" s="8" t="s">
        <v>108</v>
      </c>
      <c r="E26" s="7" cm="1">
        <f t="array" ref="E26">_xlfn.XMATCH(F26&amp;G26&amp;H26, _xlfn.UNIQUE(F$2:F$369 &amp; G$2:G$369 &amp; H$2:H$369))</f>
        <v>5</v>
      </c>
      <c r="F26" s="8" t="s">
        <v>33</v>
      </c>
      <c r="G26" s="8" t="s">
        <v>30</v>
      </c>
      <c r="H26" s="8" t="s">
        <v>21</v>
      </c>
      <c r="I26" s="8"/>
      <c r="J26" s="7"/>
      <c r="K26" s="8" t="s">
        <v>78</v>
      </c>
      <c r="L26" s="8" t="s">
        <v>79</v>
      </c>
      <c r="M26" s="8" t="s">
        <v>84</v>
      </c>
      <c r="N26" s="7" t="s">
        <v>109</v>
      </c>
      <c r="O26" s="13">
        <v>350000</v>
      </c>
      <c r="P26" s="14">
        <v>0.4</v>
      </c>
      <c r="Q26" s="7">
        <v>12</v>
      </c>
      <c r="R26" s="8" t="s">
        <v>110</v>
      </c>
      <c r="S26" s="15"/>
    </row>
    <row r="27" spans="1:19" x14ac:dyDescent="0.25">
      <c r="A27" s="10">
        <f t="shared" si="0"/>
        <v>2020</v>
      </c>
      <c r="B27" s="11" t="str">
        <f t="shared" si="1"/>
        <v>November</v>
      </c>
      <c r="C27" s="12">
        <v>44145</v>
      </c>
      <c r="D27" s="8" t="s">
        <v>111</v>
      </c>
      <c r="E27" s="7" cm="1">
        <f t="array" ref="E27">_xlfn.XMATCH(F27&amp;G27&amp;H27, _xlfn.UNIQUE(F$2:F$369 &amp; G$2:G$369 &amp; H$2:H$369))</f>
        <v>13</v>
      </c>
      <c r="F27" s="8" t="s">
        <v>62</v>
      </c>
      <c r="G27" s="8" t="s">
        <v>63</v>
      </c>
      <c r="H27" s="8" t="s">
        <v>64</v>
      </c>
      <c r="I27" s="8"/>
      <c r="J27" s="7"/>
      <c r="K27" s="8" t="s">
        <v>78</v>
      </c>
      <c r="L27" s="8" t="s">
        <v>79</v>
      </c>
      <c r="M27" s="8" t="s">
        <v>84</v>
      </c>
      <c r="N27" s="7" t="s">
        <v>112</v>
      </c>
      <c r="O27" s="13">
        <v>400000</v>
      </c>
      <c r="P27" s="14">
        <v>0.4</v>
      </c>
      <c r="Q27" s="7">
        <v>12</v>
      </c>
      <c r="R27" s="8" t="s">
        <v>110</v>
      </c>
      <c r="S27" s="15"/>
    </row>
    <row r="28" spans="1:19" x14ac:dyDescent="0.25">
      <c r="A28" s="10">
        <f t="shared" si="0"/>
        <v>2020</v>
      </c>
      <c r="B28" s="11" t="str">
        <f t="shared" si="1"/>
        <v>November</v>
      </c>
      <c r="C28" s="12">
        <v>44146</v>
      </c>
      <c r="D28" s="8" t="s">
        <v>113</v>
      </c>
      <c r="E28" s="7" cm="1">
        <f t="array" ref="E28">_xlfn.XMATCH(F28&amp;G28&amp;H28, _xlfn.UNIQUE(F$2:F$369 &amp; G$2:G$369 &amp; H$2:H$369))</f>
        <v>20</v>
      </c>
      <c r="F28" s="8" t="s">
        <v>114</v>
      </c>
      <c r="G28" s="8" t="s">
        <v>115</v>
      </c>
      <c r="H28" s="8" t="s">
        <v>116</v>
      </c>
      <c r="I28" s="8"/>
      <c r="J28" s="7"/>
      <c r="K28" s="8" t="s">
        <v>78</v>
      </c>
      <c r="L28" s="8" t="s">
        <v>79</v>
      </c>
      <c r="M28" s="8" t="s">
        <v>84</v>
      </c>
      <c r="N28" s="7" t="s">
        <v>117</v>
      </c>
      <c r="O28" s="13">
        <v>350000</v>
      </c>
      <c r="P28" s="14">
        <v>0.42</v>
      </c>
      <c r="Q28" s="7">
        <v>3</v>
      </c>
      <c r="R28" s="8" t="s">
        <v>118</v>
      </c>
      <c r="S28" s="15"/>
    </row>
    <row r="29" spans="1:19" x14ac:dyDescent="0.25">
      <c r="A29" s="10">
        <f t="shared" si="0"/>
        <v>2020</v>
      </c>
      <c r="B29" s="11" t="str">
        <f t="shared" si="1"/>
        <v>November</v>
      </c>
      <c r="C29" s="12">
        <v>44159</v>
      </c>
      <c r="D29" s="8" t="s">
        <v>119</v>
      </c>
      <c r="E29" s="7" cm="1">
        <f t="array" ref="E29">_xlfn.XMATCH(F29&amp;G29&amp;H29, _xlfn.UNIQUE(F$2:F$369 &amp; G$2:G$369 &amp; H$2:H$369))</f>
        <v>20</v>
      </c>
      <c r="F29" s="8" t="s">
        <v>114</v>
      </c>
      <c r="G29" s="8" t="s">
        <v>115</v>
      </c>
      <c r="H29" s="8" t="s">
        <v>116</v>
      </c>
      <c r="I29" s="8"/>
      <c r="J29" s="7"/>
      <c r="K29" s="8" t="s">
        <v>22</v>
      </c>
      <c r="L29" s="8" t="s">
        <v>38</v>
      </c>
      <c r="M29" s="8" t="s">
        <v>84</v>
      </c>
      <c r="N29" s="8" t="s">
        <v>120</v>
      </c>
      <c r="O29" s="13">
        <v>350000</v>
      </c>
      <c r="P29" s="14">
        <v>0.5</v>
      </c>
      <c r="Q29" s="7">
        <v>3</v>
      </c>
      <c r="R29" s="8" t="s">
        <v>39</v>
      </c>
      <c r="S29" s="15"/>
    </row>
    <row r="30" spans="1:19" x14ac:dyDescent="0.25">
      <c r="A30" s="10">
        <f t="shared" si="0"/>
        <v>2020</v>
      </c>
      <c r="B30" s="11" t="str">
        <f t="shared" si="1"/>
        <v>November</v>
      </c>
      <c r="C30" s="12">
        <v>44162</v>
      </c>
      <c r="D30" s="8" t="s">
        <v>121</v>
      </c>
      <c r="E30" s="7" cm="1">
        <f t="array" ref="E30">_xlfn.XMATCH(F30&amp;G30&amp;H30, _xlfn.UNIQUE(F$2:F$369 &amp; G$2:G$369 &amp; H$2:H$369))</f>
        <v>2</v>
      </c>
      <c r="F30" s="8" t="s">
        <v>25</v>
      </c>
      <c r="G30" s="8" t="s">
        <v>26</v>
      </c>
      <c r="H30" s="8" t="s">
        <v>27</v>
      </c>
      <c r="I30" s="8"/>
      <c r="J30" s="7"/>
      <c r="K30" s="8" t="s">
        <v>78</v>
      </c>
      <c r="L30" s="8" t="s">
        <v>79</v>
      </c>
      <c r="M30" s="8" t="s">
        <v>84</v>
      </c>
      <c r="N30" s="7" t="s">
        <v>122</v>
      </c>
      <c r="O30" s="13">
        <v>400000</v>
      </c>
      <c r="P30" s="14">
        <v>0.25</v>
      </c>
      <c r="Q30" s="7">
        <v>12</v>
      </c>
      <c r="R30" s="8" t="s">
        <v>118</v>
      </c>
      <c r="S30" s="15"/>
    </row>
    <row r="31" spans="1:19" x14ac:dyDescent="0.25">
      <c r="A31" s="18">
        <f t="shared" si="0"/>
        <v>2020</v>
      </c>
      <c r="B31" s="11" t="str">
        <f t="shared" si="1"/>
        <v>December</v>
      </c>
      <c r="C31" s="12">
        <v>44189</v>
      </c>
      <c r="D31" s="7" t="s">
        <v>123</v>
      </c>
      <c r="E31" s="7" cm="1">
        <f t="array" ref="E31">_xlfn.XMATCH(F31&amp;G31&amp;H31, _xlfn.UNIQUE(F$2:F$369 &amp; G$2:G$369 &amp; H$2:H$369))</f>
        <v>21</v>
      </c>
      <c r="F31" s="8" t="s">
        <v>124</v>
      </c>
      <c r="G31" s="8" t="s">
        <v>125</v>
      </c>
      <c r="H31" s="8" t="s">
        <v>126</v>
      </c>
      <c r="I31" s="8"/>
      <c r="J31" s="7"/>
      <c r="K31" s="8" t="s">
        <v>78</v>
      </c>
      <c r="L31" s="8" t="s">
        <v>79</v>
      </c>
      <c r="M31" s="8" t="s">
        <v>84</v>
      </c>
      <c r="N31" s="7" t="s">
        <v>127</v>
      </c>
      <c r="O31" s="19">
        <v>450000</v>
      </c>
      <c r="P31" s="14">
        <v>0.2</v>
      </c>
      <c r="Q31" s="7">
        <v>18</v>
      </c>
      <c r="R31" s="8" t="s">
        <v>128</v>
      </c>
      <c r="S31" s="15"/>
    </row>
    <row r="32" spans="1:19" x14ac:dyDescent="0.25">
      <c r="A32" s="18">
        <f t="shared" si="0"/>
        <v>2021</v>
      </c>
      <c r="B32" s="11" t="str">
        <f t="shared" si="1"/>
        <v>January</v>
      </c>
      <c r="C32" s="12">
        <v>44207</v>
      </c>
      <c r="D32" s="7" t="s">
        <v>129</v>
      </c>
      <c r="E32" s="7" cm="1">
        <f t="array" ref="E32">_xlfn.XMATCH(F32&amp;G32&amp;H32, _xlfn.UNIQUE(F$2:F$369 &amp; G$2:G$369 &amp; H$2:H$369))</f>
        <v>21</v>
      </c>
      <c r="F32" s="8" t="s">
        <v>124</v>
      </c>
      <c r="G32" s="8" t="s">
        <v>125</v>
      </c>
      <c r="H32" s="8" t="s">
        <v>126</v>
      </c>
      <c r="I32" s="8"/>
      <c r="J32" s="7"/>
      <c r="K32" s="8" t="s">
        <v>22</v>
      </c>
      <c r="L32" s="8" t="s">
        <v>38</v>
      </c>
      <c r="M32" s="8" t="s">
        <v>84</v>
      </c>
      <c r="N32" s="8" t="s">
        <v>130</v>
      </c>
      <c r="O32" s="19">
        <v>400000</v>
      </c>
      <c r="P32" s="14">
        <v>0.125</v>
      </c>
      <c r="Q32" s="7">
        <v>18</v>
      </c>
      <c r="R32" s="8" t="s">
        <v>39</v>
      </c>
      <c r="S32" s="15"/>
    </row>
    <row r="33" spans="1:19" x14ac:dyDescent="0.25">
      <c r="A33" s="10">
        <f t="shared" si="0"/>
        <v>2021</v>
      </c>
      <c r="B33" s="11" t="str">
        <f t="shared" si="1"/>
        <v>February</v>
      </c>
      <c r="C33" s="12">
        <v>44238</v>
      </c>
      <c r="D33" s="8" t="s">
        <v>131</v>
      </c>
      <c r="E33" s="7" cm="1">
        <f t="array" ref="E33">_xlfn.XMATCH(F33&amp;G33&amp;H33, _xlfn.UNIQUE(F$2:F$369 &amp; G$2:G$369 &amp; H$2:H$369))</f>
        <v>22</v>
      </c>
      <c r="F33" s="8" t="s">
        <v>132</v>
      </c>
      <c r="G33" s="8" t="s">
        <v>133</v>
      </c>
      <c r="H33" s="8" t="s">
        <v>64</v>
      </c>
      <c r="I33" s="8"/>
      <c r="J33" s="7"/>
      <c r="K33" s="8" t="s">
        <v>22</v>
      </c>
      <c r="L33" s="8" t="s">
        <v>134</v>
      </c>
      <c r="M33" s="8" t="s">
        <v>84</v>
      </c>
      <c r="N33" s="8" t="s">
        <v>135</v>
      </c>
      <c r="O33" s="13">
        <v>350000</v>
      </c>
      <c r="P33" s="14"/>
      <c r="Q33" s="7" t="s">
        <v>70</v>
      </c>
      <c r="R33" s="8" t="s">
        <v>136</v>
      </c>
      <c r="S33" s="15"/>
    </row>
    <row r="34" spans="1:19" x14ac:dyDescent="0.25">
      <c r="A34" s="10">
        <f t="shared" si="0"/>
        <v>2021</v>
      </c>
      <c r="B34" s="11" t="str">
        <f t="shared" si="1"/>
        <v>February</v>
      </c>
      <c r="C34" s="12">
        <v>44244</v>
      </c>
      <c r="D34" s="8" t="s">
        <v>137</v>
      </c>
      <c r="E34" s="7" cm="1">
        <f t="array" ref="E34">_xlfn.XMATCH(F34&amp;G34&amp;H34, _xlfn.UNIQUE(F$2:F$369 &amp; G$2:G$369 &amp; H$2:H$369))</f>
        <v>8</v>
      </c>
      <c r="F34" s="8" t="s">
        <v>44</v>
      </c>
      <c r="G34" s="8" t="s">
        <v>45</v>
      </c>
      <c r="H34" s="8" t="s">
        <v>46</v>
      </c>
      <c r="I34" s="8"/>
      <c r="J34" s="7"/>
      <c r="K34" s="8" t="s">
        <v>78</v>
      </c>
      <c r="L34" s="8" t="s">
        <v>79</v>
      </c>
      <c r="M34" s="8" t="s">
        <v>84</v>
      </c>
      <c r="N34" s="7" t="s">
        <v>138</v>
      </c>
      <c r="O34" s="13">
        <v>350000</v>
      </c>
      <c r="P34" s="14"/>
      <c r="Q34" s="7" t="s">
        <v>70</v>
      </c>
      <c r="R34" s="8" t="s">
        <v>139</v>
      </c>
      <c r="S34" s="15"/>
    </row>
    <row r="35" spans="1:19" x14ac:dyDescent="0.25">
      <c r="A35" s="10">
        <f t="shared" si="0"/>
        <v>2021</v>
      </c>
      <c r="B35" s="11" t="str">
        <f t="shared" si="1"/>
        <v>March</v>
      </c>
      <c r="C35" s="12">
        <v>44269</v>
      </c>
      <c r="D35" s="8" t="s">
        <v>140</v>
      </c>
      <c r="E35" s="7" cm="1">
        <f t="array" ref="E35">_xlfn.XMATCH(F35&amp;G35&amp;H35, _xlfn.UNIQUE(F$2:F$369 &amp; G$2:G$369 &amp; H$2:H$369))</f>
        <v>23</v>
      </c>
      <c r="F35" s="8" t="s">
        <v>141</v>
      </c>
      <c r="G35" s="8" t="s">
        <v>142</v>
      </c>
      <c r="H35" s="8" t="s">
        <v>64</v>
      </c>
      <c r="I35" s="8"/>
      <c r="J35" s="7"/>
      <c r="K35" s="8" t="s">
        <v>22</v>
      </c>
      <c r="L35" s="8" t="s">
        <v>134</v>
      </c>
      <c r="M35" s="8" t="s">
        <v>84</v>
      </c>
      <c r="N35" s="8" t="s">
        <v>143</v>
      </c>
      <c r="O35" s="13">
        <v>350000</v>
      </c>
      <c r="P35" s="14"/>
      <c r="Q35" s="7" t="s">
        <v>70</v>
      </c>
      <c r="R35" s="8" t="s">
        <v>144</v>
      </c>
      <c r="S35" s="15"/>
    </row>
    <row r="36" spans="1:19" x14ac:dyDescent="0.25">
      <c r="A36" s="10">
        <f t="shared" si="0"/>
        <v>2021</v>
      </c>
      <c r="B36" s="11" t="str">
        <f t="shared" si="1"/>
        <v>March</v>
      </c>
      <c r="C36" s="12">
        <v>44272</v>
      </c>
      <c r="D36" s="8" t="s">
        <v>145</v>
      </c>
      <c r="E36" s="7" cm="1">
        <f t="array" ref="E36">_xlfn.XMATCH(F36&amp;G36&amp;H36, _xlfn.UNIQUE(F$2:F$369 &amp; G$2:G$369 &amp; H$2:H$369))</f>
        <v>24</v>
      </c>
      <c r="F36" s="8" t="s">
        <v>54</v>
      </c>
      <c r="G36" s="8" t="s">
        <v>146</v>
      </c>
      <c r="H36" s="8" t="s">
        <v>56</v>
      </c>
      <c r="I36" s="8"/>
      <c r="J36" s="7"/>
      <c r="K36" s="8" t="s">
        <v>78</v>
      </c>
      <c r="L36" s="8" t="s">
        <v>79</v>
      </c>
      <c r="M36" s="8" t="s">
        <v>84</v>
      </c>
      <c r="N36" s="7" t="s">
        <v>147</v>
      </c>
      <c r="O36" s="13">
        <v>350000</v>
      </c>
      <c r="P36" s="14"/>
      <c r="Q36" s="7" t="s">
        <v>70</v>
      </c>
      <c r="R36" s="8" t="s">
        <v>148</v>
      </c>
      <c r="S36" s="15"/>
    </row>
    <row r="37" spans="1:19" x14ac:dyDescent="0.25">
      <c r="A37" s="10">
        <f t="shared" si="0"/>
        <v>2021</v>
      </c>
      <c r="B37" s="11" t="str">
        <f t="shared" si="1"/>
        <v>March</v>
      </c>
      <c r="C37" s="12">
        <v>44284</v>
      </c>
      <c r="D37" s="8" t="s">
        <v>149</v>
      </c>
      <c r="E37" s="7" cm="1">
        <f t="array" ref="E37">_xlfn.XMATCH(F37&amp;G37&amp;H37, _xlfn.UNIQUE(F$2:F$369 &amp; G$2:G$369 &amp; H$2:H$369))</f>
        <v>9</v>
      </c>
      <c r="F37" s="8" t="s">
        <v>48</v>
      </c>
      <c r="G37" s="8" t="s">
        <v>26</v>
      </c>
      <c r="H37" s="8" t="s">
        <v>27</v>
      </c>
      <c r="I37" s="8"/>
      <c r="J37" s="7"/>
      <c r="K37" s="8" t="s">
        <v>91</v>
      </c>
      <c r="L37" s="8" t="s">
        <v>150</v>
      </c>
      <c r="M37" s="8"/>
      <c r="N37" s="8" t="s">
        <v>151</v>
      </c>
      <c r="O37" s="13">
        <v>350000</v>
      </c>
      <c r="P37" s="14">
        <v>0.42</v>
      </c>
      <c r="Q37" s="7">
        <v>24</v>
      </c>
      <c r="R37" s="8" t="s">
        <v>152</v>
      </c>
      <c r="S37" s="15"/>
    </row>
    <row r="38" spans="1:19" x14ac:dyDescent="0.25">
      <c r="A38" s="10">
        <f t="shared" si="0"/>
        <v>2021</v>
      </c>
      <c r="B38" s="11" t="str">
        <f t="shared" si="1"/>
        <v>April</v>
      </c>
      <c r="C38" s="12">
        <v>44298</v>
      </c>
      <c r="D38" s="8" t="s">
        <v>153</v>
      </c>
      <c r="E38" s="7" cm="1">
        <f t="array" ref="E38">_xlfn.XMATCH(F38&amp;G38&amp;H38, _xlfn.UNIQUE(F$2:F$369 &amp; G$2:G$369 &amp; H$2:H$369))</f>
        <v>7</v>
      </c>
      <c r="F38" s="8" t="s">
        <v>41</v>
      </c>
      <c r="G38" s="8" t="s">
        <v>26</v>
      </c>
      <c r="H38" s="8" t="s">
        <v>27</v>
      </c>
      <c r="I38" s="8"/>
      <c r="J38" s="7"/>
      <c r="K38" s="8" t="s">
        <v>78</v>
      </c>
      <c r="L38" s="8" t="s">
        <v>79</v>
      </c>
      <c r="M38" s="8" t="s">
        <v>84</v>
      </c>
      <c r="N38" s="7" t="s">
        <v>154</v>
      </c>
      <c r="O38" s="13">
        <v>350000</v>
      </c>
      <c r="P38" s="14">
        <v>0.25</v>
      </c>
      <c r="Q38" s="7">
        <v>12</v>
      </c>
      <c r="R38" s="8" t="s">
        <v>155</v>
      </c>
      <c r="S38" s="15"/>
    </row>
    <row r="39" spans="1:19" x14ac:dyDescent="0.25">
      <c r="A39" s="10">
        <f t="shared" si="0"/>
        <v>2021</v>
      </c>
      <c r="B39" s="11" t="str">
        <f t="shared" si="1"/>
        <v>May</v>
      </c>
      <c r="C39" s="12">
        <v>44332</v>
      </c>
      <c r="D39" s="8" t="s">
        <v>156</v>
      </c>
      <c r="E39" s="7" cm="1">
        <f t="array" ref="E39">_xlfn.XMATCH(F39&amp;G39&amp;H39, _xlfn.UNIQUE(F$2:F$369 &amp; G$2:G$369 &amp; H$2:H$369))</f>
        <v>5</v>
      </c>
      <c r="F39" s="8" t="s">
        <v>33</v>
      </c>
      <c r="G39" s="8" t="s">
        <v>30</v>
      </c>
      <c r="H39" s="8" t="s">
        <v>21</v>
      </c>
      <c r="I39" s="8"/>
      <c r="J39" s="7"/>
      <c r="K39" s="8" t="s">
        <v>91</v>
      </c>
      <c r="L39" s="8" t="s">
        <v>150</v>
      </c>
      <c r="M39" s="8"/>
      <c r="N39" s="8"/>
      <c r="O39" s="13">
        <v>350000</v>
      </c>
      <c r="P39" s="14">
        <v>0.17</v>
      </c>
      <c r="Q39" s="7">
        <v>12</v>
      </c>
      <c r="R39" s="8" t="s">
        <v>157</v>
      </c>
      <c r="S39" s="15"/>
    </row>
    <row r="40" spans="1:19" x14ac:dyDescent="0.25">
      <c r="A40" s="10">
        <f t="shared" si="0"/>
        <v>2021</v>
      </c>
      <c r="B40" s="11" t="str">
        <f t="shared" si="1"/>
        <v>June</v>
      </c>
      <c r="C40" s="12">
        <v>44356</v>
      </c>
      <c r="D40" s="8" t="s">
        <v>158</v>
      </c>
      <c r="E40" s="7" cm="1">
        <f t="array" ref="E40">_xlfn.XMATCH(F40&amp;G40&amp;H40, _xlfn.UNIQUE(F$2:F$369 &amp; G$2:G$369 &amp; H$2:H$369))</f>
        <v>25</v>
      </c>
      <c r="F40" s="8" t="s">
        <v>159</v>
      </c>
      <c r="G40" s="8" t="s">
        <v>160</v>
      </c>
      <c r="H40" s="8" t="s">
        <v>161</v>
      </c>
      <c r="I40" s="8"/>
      <c r="J40" s="7"/>
      <c r="K40" s="8" t="s">
        <v>22</v>
      </c>
      <c r="L40" s="8" t="s">
        <v>134</v>
      </c>
      <c r="M40" s="8"/>
      <c r="N40" s="8" t="s">
        <v>162</v>
      </c>
      <c r="O40" s="13">
        <v>350000</v>
      </c>
      <c r="P40" s="14"/>
      <c r="Q40" s="7" t="s">
        <v>70</v>
      </c>
      <c r="R40" s="8" t="s">
        <v>163</v>
      </c>
      <c r="S40" s="15"/>
    </row>
    <row r="41" spans="1:19" x14ac:dyDescent="0.25">
      <c r="A41" s="10">
        <f t="shared" si="0"/>
        <v>2021</v>
      </c>
      <c r="B41" s="11" t="str">
        <f t="shared" si="1"/>
        <v>June</v>
      </c>
      <c r="C41" s="12">
        <v>44358</v>
      </c>
      <c r="D41" s="8" t="s">
        <v>164</v>
      </c>
      <c r="E41" s="7" cm="1">
        <f t="array" ref="E41">_xlfn.XMATCH(F41&amp;G41&amp;H41, _xlfn.UNIQUE(F$2:F$369 &amp; G$2:G$369 &amp; H$2:H$369))</f>
        <v>22</v>
      </c>
      <c r="F41" s="8" t="s">
        <v>132</v>
      </c>
      <c r="G41" s="8" t="s">
        <v>133</v>
      </c>
      <c r="H41" s="8" t="s">
        <v>64</v>
      </c>
      <c r="I41" s="8"/>
      <c r="J41" s="7"/>
      <c r="K41" s="8" t="s">
        <v>78</v>
      </c>
      <c r="L41" s="8" t="s">
        <v>79</v>
      </c>
      <c r="M41" s="8"/>
      <c r="N41" s="7" t="s">
        <v>165</v>
      </c>
      <c r="O41" s="13">
        <v>350000</v>
      </c>
      <c r="P41" s="14">
        <v>0.42</v>
      </c>
      <c r="Q41" s="7">
        <v>6</v>
      </c>
      <c r="R41" s="8" t="s">
        <v>166</v>
      </c>
      <c r="S41" s="15"/>
    </row>
    <row r="42" spans="1:19" x14ac:dyDescent="0.25">
      <c r="A42" s="10">
        <f t="shared" si="0"/>
        <v>2021</v>
      </c>
      <c r="B42" s="11" t="str">
        <f t="shared" si="1"/>
        <v>June</v>
      </c>
      <c r="C42" s="12">
        <v>44370</v>
      </c>
      <c r="D42" s="8" t="s">
        <v>167</v>
      </c>
      <c r="E42" s="7" cm="1">
        <f t="array" ref="E42">_xlfn.XMATCH(F42&amp;G42&amp;H42, _xlfn.UNIQUE(F$2:F$369 &amp; G$2:G$369 &amp; H$2:H$369))</f>
        <v>26</v>
      </c>
      <c r="F42" s="8" t="s">
        <v>59</v>
      </c>
      <c r="G42" s="8" t="s">
        <v>168</v>
      </c>
      <c r="H42" s="8" t="s">
        <v>52</v>
      </c>
      <c r="I42" s="8"/>
      <c r="J42" s="7"/>
      <c r="K42" s="8" t="s">
        <v>78</v>
      </c>
      <c r="L42" s="8" t="s">
        <v>79</v>
      </c>
      <c r="M42" s="8"/>
      <c r="N42" s="7" t="s">
        <v>169</v>
      </c>
      <c r="O42" s="13"/>
      <c r="P42" s="14"/>
      <c r="Q42" s="7"/>
      <c r="R42" s="8" t="s">
        <v>155</v>
      </c>
      <c r="S42" s="15"/>
    </row>
    <row r="43" spans="1:19" x14ac:dyDescent="0.25">
      <c r="A43" s="10">
        <f t="shared" si="0"/>
        <v>2021</v>
      </c>
      <c r="B43" s="11" t="str">
        <f t="shared" si="1"/>
        <v>June</v>
      </c>
      <c r="C43" s="12">
        <v>44370</v>
      </c>
      <c r="D43" s="8" t="s">
        <v>167</v>
      </c>
      <c r="E43" s="7" cm="1">
        <f t="array" ref="E43">_xlfn.XMATCH(F43&amp;G43&amp;H43, _xlfn.UNIQUE(F$2:F$369 &amp; G$2:G$369 &amp; H$2:H$369))</f>
        <v>26</v>
      </c>
      <c r="F43" s="8" t="s">
        <v>59</v>
      </c>
      <c r="G43" s="8" t="s">
        <v>168</v>
      </c>
      <c r="H43" s="8" t="s">
        <v>52</v>
      </c>
      <c r="I43" s="8"/>
      <c r="J43" s="7"/>
      <c r="K43" s="8" t="s">
        <v>22</v>
      </c>
      <c r="L43" s="8" t="s">
        <v>134</v>
      </c>
      <c r="M43" s="8"/>
      <c r="N43" s="16" t="s">
        <v>170</v>
      </c>
      <c r="O43" s="13"/>
      <c r="P43" s="14"/>
      <c r="Q43" s="7"/>
      <c r="R43" s="8" t="s">
        <v>171</v>
      </c>
      <c r="S43" s="15"/>
    </row>
    <row r="44" spans="1:19" x14ac:dyDescent="0.25">
      <c r="A44" s="10">
        <f t="shared" si="0"/>
        <v>2021</v>
      </c>
      <c r="B44" s="11" t="str">
        <f t="shared" si="1"/>
        <v>July</v>
      </c>
      <c r="C44" s="12">
        <v>44391</v>
      </c>
      <c r="D44" s="8" t="s">
        <v>172</v>
      </c>
      <c r="E44" s="7" cm="1">
        <f t="array" ref="E44">_xlfn.XMATCH(F44&amp;G44&amp;H44, _xlfn.UNIQUE(F$2:F$369 &amp; G$2:G$369 &amp; H$2:H$369))</f>
        <v>27</v>
      </c>
      <c r="F44" s="8" t="s">
        <v>33</v>
      </c>
      <c r="G44" s="8" t="s">
        <v>173</v>
      </c>
      <c r="H44" s="8" t="s">
        <v>21</v>
      </c>
      <c r="I44" s="8"/>
      <c r="J44" s="7"/>
      <c r="K44" s="8" t="s">
        <v>22</v>
      </c>
      <c r="L44" s="8" t="s">
        <v>134</v>
      </c>
      <c r="M44" s="8"/>
      <c r="N44" s="8" t="s">
        <v>174</v>
      </c>
      <c r="O44" s="13">
        <v>385000</v>
      </c>
      <c r="P44" s="14"/>
      <c r="Q44" s="7">
        <v>12</v>
      </c>
      <c r="R44" s="8" t="s">
        <v>175</v>
      </c>
      <c r="S44" s="15"/>
    </row>
    <row r="45" spans="1:19" x14ac:dyDescent="0.25">
      <c r="A45" s="10">
        <f t="shared" si="0"/>
        <v>2021</v>
      </c>
      <c r="B45" s="11" t="str">
        <f t="shared" si="1"/>
        <v>July</v>
      </c>
      <c r="C45" s="12">
        <v>44393</v>
      </c>
      <c r="D45" s="8" t="s">
        <v>176</v>
      </c>
      <c r="E45" s="7" cm="1">
        <f t="array" ref="E45">_xlfn.XMATCH(F45&amp;G45&amp;H45, _xlfn.UNIQUE(F$2:F$369 &amp; G$2:G$369 &amp; H$2:H$369))</f>
        <v>17</v>
      </c>
      <c r="F45" s="8" t="s">
        <v>96</v>
      </c>
      <c r="G45" s="8" t="s">
        <v>97</v>
      </c>
      <c r="H45" s="8" t="s">
        <v>64</v>
      </c>
      <c r="I45" s="8"/>
      <c r="J45" s="7"/>
      <c r="K45" s="8" t="s">
        <v>78</v>
      </c>
      <c r="L45" s="8" t="s">
        <v>79</v>
      </c>
      <c r="M45" s="8"/>
      <c r="N45" s="7" t="s">
        <v>177</v>
      </c>
      <c r="O45" s="13">
        <v>350000</v>
      </c>
      <c r="P45" s="14"/>
      <c r="Q45" s="7">
        <v>12</v>
      </c>
      <c r="R45" s="8" t="s">
        <v>178</v>
      </c>
      <c r="S45" s="15"/>
    </row>
    <row r="46" spans="1:19" x14ac:dyDescent="0.25">
      <c r="A46" s="10">
        <f t="shared" si="0"/>
        <v>2021</v>
      </c>
      <c r="B46" s="11" t="str">
        <f t="shared" si="1"/>
        <v>July</v>
      </c>
      <c r="C46" s="12">
        <v>44397</v>
      </c>
      <c r="D46" s="8" t="s">
        <v>179</v>
      </c>
      <c r="E46" s="7" cm="1">
        <f t="array" ref="E46">_xlfn.XMATCH(F46&amp;G46&amp;H46, _xlfn.UNIQUE(F$2:F$369 &amp; G$2:G$369 &amp; H$2:H$369))</f>
        <v>28</v>
      </c>
      <c r="F46" s="8" t="s">
        <v>33</v>
      </c>
      <c r="G46" s="8" t="s">
        <v>180</v>
      </c>
      <c r="H46" s="8" t="s">
        <v>21</v>
      </c>
      <c r="I46" s="8"/>
      <c r="J46" s="7"/>
      <c r="K46" s="8" t="s">
        <v>22</v>
      </c>
      <c r="L46" s="8" t="s">
        <v>134</v>
      </c>
      <c r="M46" s="8" t="s">
        <v>84</v>
      </c>
      <c r="N46" s="8" t="s">
        <v>181</v>
      </c>
      <c r="O46" s="13">
        <v>385000</v>
      </c>
      <c r="P46" s="14">
        <v>0.25</v>
      </c>
      <c r="Q46" s="7">
        <v>12</v>
      </c>
      <c r="R46" s="8" t="s">
        <v>182</v>
      </c>
      <c r="S46" s="15"/>
    </row>
    <row r="47" spans="1:19" x14ac:dyDescent="0.25">
      <c r="A47" s="10">
        <f t="shared" si="0"/>
        <v>2021</v>
      </c>
      <c r="B47" s="11" t="str">
        <f t="shared" si="1"/>
        <v>July</v>
      </c>
      <c r="C47" s="12">
        <v>44398</v>
      </c>
      <c r="D47" s="8" t="s">
        <v>183</v>
      </c>
      <c r="E47" s="7" cm="1">
        <f t="array" ref="E47">_xlfn.XMATCH(F47&amp;G47&amp;H47, _xlfn.UNIQUE(F$2:F$369 &amp; G$2:G$369 &amp; H$2:H$369))</f>
        <v>7</v>
      </c>
      <c r="F47" s="8" t="s">
        <v>41</v>
      </c>
      <c r="G47" s="8" t="s">
        <v>26</v>
      </c>
      <c r="H47" s="8" t="s">
        <v>27</v>
      </c>
      <c r="I47" s="8"/>
      <c r="J47" s="7"/>
      <c r="K47" s="8" t="s">
        <v>91</v>
      </c>
      <c r="L47" s="8" t="s">
        <v>150</v>
      </c>
      <c r="M47" s="8" t="s">
        <v>84</v>
      </c>
      <c r="N47" s="8"/>
      <c r="O47" s="13">
        <v>350000</v>
      </c>
      <c r="P47" s="14">
        <v>0.2</v>
      </c>
      <c r="Q47" s="7">
        <v>12</v>
      </c>
      <c r="R47" s="8" t="s">
        <v>152</v>
      </c>
      <c r="S47" s="15"/>
    </row>
    <row r="48" spans="1:19" x14ac:dyDescent="0.25">
      <c r="A48" s="10">
        <f t="shared" si="0"/>
        <v>2021</v>
      </c>
      <c r="B48" s="11" t="str">
        <f t="shared" si="1"/>
        <v>August</v>
      </c>
      <c r="C48" s="12">
        <v>44427</v>
      </c>
      <c r="D48" s="8" t="s">
        <v>184</v>
      </c>
      <c r="E48" s="7" cm="1">
        <f t="array" ref="E48">_xlfn.XMATCH(F48&amp;G48&amp;H48, _xlfn.UNIQUE(F$2:F$369 &amp; G$2:G$369 &amp; H$2:H$369))</f>
        <v>29</v>
      </c>
      <c r="F48" s="8" t="s">
        <v>35</v>
      </c>
      <c r="G48" s="8" t="s">
        <v>185</v>
      </c>
      <c r="H48" s="8" t="s">
        <v>37</v>
      </c>
      <c r="I48" s="8"/>
      <c r="J48" s="7"/>
      <c r="K48" s="8" t="s">
        <v>22</v>
      </c>
      <c r="L48" s="8" t="s">
        <v>134</v>
      </c>
      <c r="M48" s="8" t="s">
        <v>84</v>
      </c>
      <c r="N48" s="8" t="s">
        <v>186</v>
      </c>
      <c r="O48" s="13">
        <v>385000</v>
      </c>
      <c r="P48" s="14">
        <v>0.13</v>
      </c>
      <c r="Q48" s="7">
        <v>12</v>
      </c>
      <c r="R48" s="8" t="s">
        <v>182</v>
      </c>
      <c r="S48" s="15"/>
    </row>
    <row r="49" spans="1:19" x14ac:dyDescent="0.25">
      <c r="A49" s="10">
        <f t="shared" si="0"/>
        <v>2021</v>
      </c>
      <c r="B49" s="11" t="str">
        <f t="shared" si="1"/>
        <v>September</v>
      </c>
      <c r="C49" s="12">
        <v>44450</v>
      </c>
      <c r="D49" s="8" t="s">
        <v>187</v>
      </c>
      <c r="E49" s="7" cm="1">
        <f t="array" ref="E49">_xlfn.XMATCH(F49&amp;G49&amp;H49, _xlfn.UNIQUE(F$2:F$369 &amp; G$2:G$369 &amp; H$2:H$369))</f>
        <v>30</v>
      </c>
      <c r="F49" s="8" t="s">
        <v>188</v>
      </c>
      <c r="G49" s="8" t="s">
        <v>88</v>
      </c>
      <c r="H49" s="8" t="s">
        <v>21</v>
      </c>
      <c r="I49" s="8"/>
      <c r="J49" s="7"/>
      <c r="K49" s="8" t="s">
        <v>22</v>
      </c>
      <c r="L49" s="8" t="s">
        <v>134</v>
      </c>
      <c r="M49" s="8" t="s">
        <v>84</v>
      </c>
      <c r="N49" s="16" t="s">
        <v>189</v>
      </c>
      <c r="O49" s="13">
        <v>400000</v>
      </c>
      <c r="P49" s="14">
        <v>0.25</v>
      </c>
      <c r="Q49" s="7">
        <v>12</v>
      </c>
      <c r="R49" s="8" t="s">
        <v>182</v>
      </c>
      <c r="S49" s="15"/>
    </row>
    <row r="50" spans="1:19" x14ac:dyDescent="0.25">
      <c r="A50" s="10">
        <f t="shared" si="0"/>
        <v>2021</v>
      </c>
      <c r="B50" s="11" t="str">
        <f t="shared" si="1"/>
        <v>September</v>
      </c>
      <c r="C50" s="12">
        <v>44461</v>
      </c>
      <c r="D50" s="8" t="s">
        <v>190</v>
      </c>
      <c r="E50" s="7" cm="1">
        <f t="array" ref="E50">_xlfn.XMATCH(F50&amp;G50&amp;H50, _xlfn.UNIQUE(F$2:F$369 &amp; G$2:G$369 &amp; H$2:H$369))</f>
        <v>31</v>
      </c>
      <c r="F50" s="8" t="s">
        <v>191</v>
      </c>
      <c r="G50" s="8" t="s">
        <v>192</v>
      </c>
      <c r="H50" s="8" t="s">
        <v>46</v>
      </c>
      <c r="I50" s="8"/>
      <c r="J50" s="7"/>
      <c r="K50" s="8" t="s">
        <v>22</v>
      </c>
      <c r="L50" s="8" t="s">
        <v>134</v>
      </c>
      <c r="M50" s="8" t="s">
        <v>84</v>
      </c>
      <c r="N50" s="16" t="s">
        <v>193</v>
      </c>
      <c r="O50" s="13">
        <v>385000</v>
      </c>
      <c r="P50" s="14">
        <v>0.4</v>
      </c>
      <c r="Q50" s="7">
        <v>24</v>
      </c>
      <c r="R50" s="8" t="s">
        <v>182</v>
      </c>
      <c r="S50" s="15"/>
    </row>
    <row r="51" spans="1:19" ht="16.5" x14ac:dyDescent="0.25">
      <c r="A51" s="10">
        <f t="shared" si="0"/>
        <v>2021</v>
      </c>
      <c r="B51" s="11" t="str">
        <f t="shared" si="1"/>
        <v>September</v>
      </c>
      <c r="C51" s="12">
        <v>44464</v>
      </c>
      <c r="D51" s="8" t="s">
        <v>194</v>
      </c>
      <c r="E51" s="7" cm="1">
        <f t="array" ref="E51">_xlfn.XMATCH(F51&amp;G51&amp;H51, _xlfn.UNIQUE(F$2:F$369 &amp; G$2:G$369 &amp; H$2:H$369))</f>
        <v>32</v>
      </c>
      <c r="F51" s="20" t="s">
        <v>195</v>
      </c>
      <c r="G51" s="8" t="s">
        <v>63</v>
      </c>
      <c r="H51" s="8" t="s">
        <v>196</v>
      </c>
      <c r="I51" s="8"/>
      <c r="J51" s="7"/>
      <c r="K51" s="8" t="s">
        <v>22</v>
      </c>
      <c r="L51" s="8" t="s">
        <v>134</v>
      </c>
      <c r="M51" s="8" t="s">
        <v>84</v>
      </c>
      <c r="N51" s="21" t="s">
        <v>197</v>
      </c>
      <c r="O51" s="13">
        <v>350000</v>
      </c>
      <c r="P51" s="14">
        <v>0.3</v>
      </c>
      <c r="Q51" s="7">
        <v>12</v>
      </c>
      <c r="R51" s="8" t="s">
        <v>163</v>
      </c>
      <c r="S51" s="15"/>
    </row>
    <row r="52" spans="1:19" x14ac:dyDescent="0.25">
      <c r="A52" s="10">
        <f t="shared" si="0"/>
        <v>2021</v>
      </c>
      <c r="B52" s="11" t="str">
        <f t="shared" si="1"/>
        <v>October</v>
      </c>
      <c r="C52" s="12">
        <v>44476</v>
      </c>
      <c r="D52" s="8" t="s">
        <v>198</v>
      </c>
      <c r="E52" s="7" cm="1">
        <f t="array" ref="E52">_xlfn.XMATCH(F52&amp;G52&amp;H52, _xlfn.UNIQUE(F$2:F$369 &amp; G$2:G$369 &amp; H$2:H$369))</f>
        <v>18</v>
      </c>
      <c r="F52" s="8" t="s">
        <v>35</v>
      </c>
      <c r="G52" s="8" t="s">
        <v>100</v>
      </c>
      <c r="H52" s="8" t="s">
        <v>37</v>
      </c>
      <c r="I52" s="8"/>
      <c r="J52" s="7"/>
      <c r="K52" s="8" t="s">
        <v>22</v>
      </c>
      <c r="L52" s="8" t="s">
        <v>134</v>
      </c>
      <c r="M52" s="8" t="s">
        <v>84</v>
      </c>
      <c r="N52" s="8" t="s">
        <v>199</v>
      </c>
      <c r="O52" s="13">
        <v>400000</v>
      </c>
      <c r="P52" s="14">
        <v>0.5</v>
      </c>
      <c r="Q52" s="7">
        <v>12</v>
      </c>
      <c r="R52" s="8"/>
      <c r="S52" s="15"/>
    </row>
    <row r="53" spans="1:19" x14ac:dyDescent="0.25">
      <c r="A53" s="10">
        <f t="shared" si="0"/>
        <v>2021</v>
      </c>
      <c r="B53" s="11" t="str">
        <f t="shared" si="1"/>
        <v>October</v>
      </c>
      <c r="C53" s="12">
        <v>44487</v>
      </c>
      <c r="D53" s="8" t="s">
        <v>200</v>
      </c>
      <c r="E53" s="7" cm="1">
        <f t="array" ref="E53">_xlfn.XMATCH(F53&amp;G53&amp;H53, _xlfn.UNIQUE(F$2:F$369 &amp; G$2:G$369 &amp; H$2:H$369))</f>
        <v>33</v>
      </c>
      <c r="F53" s="8" t="s">
        <v>201</v>
      </c>
      <c r="G53" s="8" t="s">
        <v>202</v>
      </c>
      <c r="H53" s="8" t="s">
        <v>21</v>
      </c>
      <c r="I53" s="8"/>
      <c r="J53" s="7"/>
      <c r="K53" s="8" t="s">
        <v>22</v>
      </c>
      <c r="L53" s="8" t="s">
        <v>134</v>
      </c>
      <c r="M53" s="8" t="s">
        <v>84</v>
      </c>
      <c r="N53" s="16" t="s">
        <v>203</v>
      </c>
      <c r="O53" s="13">
        <v>420000</v>
      </c>
      <c r="P53" s="14"/>
      <c r="Q53" s="7">
        <v>12</v>
      </c>
      <c r="R53" s="8" t="s">
        <v>182</v>
      </c>
      <c r="S53" s="15"/>
    </row>
    <row r="54" spans="1:19" x14ac:dyDescent="0.25">
      <c r="A54" s="10">
        <f t="shared" si="0"/>
        <v>2021</v>
      </c>
      <c r="B54" s="11" t="str">
        <f t="shared" si="1"/>
        <v>October</v>
      </c>
      <c r="C54" s="12">
        <v>44494</v>
      </c>
      <c r="D54" s="8" t="s">
        <v>204</v>
      </c>
      <c r="E54" s="7" cm="1">
        <f t="array" ref="E54">_xlfn.XMATCH(F54&amp;G54&amp;H54, _xlfn.UNIQUE(F$2:F$369 &amp; G$2:G$369 &amp; H$2:H$369))</f>
        <v>34</v>
      </c>
      <c r="F54" s="8" t="s">
        <v>205</v>
      </c>
      <c r="G54" s="8" t="s">
        <v>74</v>
      </c>
      <c r="H54" s="8" t="s">
        <v>75</v>
      </c>
      <c r="I54" s="8"/>
      <c r="J54" s="7"/>
      <c r="K54" s="8" t="s">
        <v>22</v>
      </c>
      <c r="L54" s="8" t="s">
        <v>134</v>
      </c>
      <c r="M54" s="8" t="s">
        <v>84</v>
      </c>
      <c r="N54" s="16" t="s">
        <v>206</v>
      </c>
      <c r="O54" s="13">
        <v>350000</v>
      </c>
      <c r="P54" s="14"/>
      <c r="Q54" s="7" t="s">
        <v>70</v>
      </c>
      <c r="R54" s="8" t="s">
        <v>182</v>
      </c>
      <c r="S54" s="15"/>
    </row>
    <row r="55" spans="1:19" x14ac:dyDescent="0.25">
      <c r="A55" s="10">
        <f t="shared" si="0"/>
        <v>2021</v>
      </c>
      <c r="B55" s="11" t="str">
        <f t="shared" si="1"/>
        <v>November</v>
      </c>
      <c r="C55" s="12">
        <v>44523</v>
      </c>
      <c r="D55" s="8" t="s">
        <v>207</v>
      </c>
      <c r="E55" s="7" cm="1">
        <f t="array" ref="E55">_xlfn.XMATCH(F55&amp;G55&amp;H55, _xlfn.UNIQUE(F$2:F$369 &amp; G$2:G$369 &amp; H$2:H$369))</f>
        <v>35</v>
      </c>
      <c r="F55" s="8" t="s">
        <v>208</v>
      </c>
      <c r="G55" s="8" t="s">
        <v>209</v>
      </c>
      <c r="H55" s="8" t="s">
        <v>46</v>
      </c>
      <c r="I55" s="8"/>
      <c r="J55" s="7"/>
      <c r="K55" s="8" t="s">
        <v>22</v>
      </c>
      <c r="L55" s="8" t="s">
        <v>134</v>
      </c>
      <c r="M55" s="8" t="s">
        <v>84</v>
      </c>
      <c r="N55" s="8" t="s">
        <v>210</v>
      </c>
      <c r="O55" s="13">
        <v>365000</v>
      </c>
      <c r="P55" s="14"/>
      <c r="Q55" s="7" t="s">
        <v>70</v>
      </c>
      <c r="R55" s="8" t="s">
        <v>211</v>
      </c>
      <c r="S55" s="15"/>
    </row>
    <row r="56" spans="1:19" x14ac:dyDescent="0.25">
      <c r="A56" s="10">
        <f t="shared" si="0"/>
        <v>2021</v>
      </c>
      <c r="B56" s="11" t="str">
        <f t="shared" si="1"/>
        <v>December</v>
      </c>
      <c r="C56" s="12">
        <v>44538</v>
      </c>
      <c r="D56" s="8" t="s">
        <v>212</v>
      </c>
      <c r="E56" s="7" cm="1">
        <f t="array" ref="E56">_xlfn.XMATCH(F56&amp;G56&amp;H56, _xlfn.UNIQUE(F$2:F$369 &amp; G$2:G$369 &amp; H$2:H$369))</f>
        <v>36</v>
      </c>
      <c r="F56" s="8" t="s">
        <v>213</v>
      </c>
      <c r="G56" s="8" t="s">
        <v>214</v>
      </c>
      <c r="H56" s="8" t="s">
        <v>116</v>
      </c>
      <c r="I56" s="8"/>
      <c r="J56" s="7"/>
      <c r="K56" s="8" t="s">
        <v>22</v>
      </c>
      <c r="L56" s="8" t="s">
        <v>134</v>
      </c>
      <c r="M56" s="8" t="s">
        <v>84</v>
      </c>
      <c r="N56" s="8" t="s">
        <v>215</v>
      </c>
      <c r="O56" s="13">
        <v>400000</v>
      </c>
      <c r="P56" s="14">
        <v>0.4</v>
      </c>
      <c r="Q56" s="7">
        <v>16</v>
      </c>
      <c r="R56" s="8"/>
      <c r="S56" s="15"/>
    </row>
    <row r="57" spans="1:19" ht="16.5" x14ac:dyDescent="0.25">
      <c r="A57" s="10">
        <f t="shared" si="0"/>
        <v>2021</v>
      </c>
      <c r="B57" s="11" t="str">
        <f t="shared" si="1"/>
        <v>December</v>
      </c>
      <c r="C57" s="12">
        <v>44545</v>
      </c>
      <c r="D57" s="8" t="s">
        <v>216</v>
      </c>
      <c r="E57" s="7" cm="1">
        <f t="array" ref="E57">_xlfn.XMATCH(F57&amp;G57&amp;H57, _xlfn.UNIQUE(F$2:F$369 &amp; G$2:G$369 &amp; H$2:H$369))</f>
        <v>37</v>
      </c>
      <c r="F57" s="21" t="s">
        <v>217</v>
      </c>
      <c r="G57" s="8" t="s">
        <v>63</v>
      </c>
      <c r="H57" s="8" t="s">
        <v>196</v>
      </c>
      <c r="I57" s="8"/>
      <c r="J57" s="7"/>
      <c r="K57" s="8" t="s">
        <v>78</v>
      </c>
      <c r="L57" s="8" t="s">
        <v>79</v>
      </c>
      <c r="M57" s="8" t="s">
        <v>84</v>
      </c>
      <c r="N57" s="7" t="s">
        <v>218</v>
      </c>
      <c r="O57" s="13">
        <v>350000</v>
      </c>
      <c r="P57" s="14">
        <v>0.3</v>
      </c>
      <c r="Q57" s="7">
        <v>12</v>
      </c>
      <c r="R57" s="8" t="s">
        <v>155</v>
      </c>
      <c r="S57" s="15"/>
    </row>
    <row r="58" spans="1:19" x14ac:dyDescent="0.25">
      <c r="A58" s="10">
        <f t="shared" si="0"/>
        <v>2022</v>
      </c>
      <c r="B58" s="11" t="str">
        <f t="shared" si="1"/>
        <v>January</v>
      </c>
      <c r="C58" s="12">
        <v>44567</v>
      </c>
      <c r="D58" s="8" t="s">
        <v>219</v>
      </c>
      <c r="E58" s="7" cm="1">
        <f t="array" ref="E58">_xlfn.XMATCH(F58&amp;G58&amp;H58, _xlfn.UNIQUE(F$2:F$369 &amp; G$2:G$369 &amp; H$2:H$369))</f>
        <v>38</v>
      </c>
      <c r="F58" s="8" t="s">
        <v>220</v>
      </c>
      <c r="G58" s="8" t="s">
        <v>133</v>
      </c>
      <c r="H58" s="8" t="s">
        <v>64</v>
      </c>
      <c r="I58" s="8"/>
      <c r="J58" s="7"/>
      <c r="K58" s="8" t="s">
        <v>22</v>
      </c>
      <c r="L58" s="8" t="s">
        <v>134</v>
      </c>
      <c r="M58" s="8" t="s">
        <v>84</v>
      </c>
      <c r="N58" s="8" t="s">
        <v>221</v>
      </c>
      <c r="O58" s="13">
        <v>400000</v>
      </c>
      <c r="P58" s="14">
        <v>0.4</v>
      </c>
      <c r="Q58" s="7">
        <v>18</v>
      </c>
      <c r="R58" s="8" t="s">
        <v>222</v>
      </c>
      <c r="S58" s="15"/>
    </row>
    <row r="59" spans="1:19" x14ac:dyDescent="0.25">
      <c r="A59" s="10">
        <f t="shared" si="0"/>
        <v>2022</v>
      </c>
      <c r="B59" s="11" t="str">
        <f t="shared" si="1"/>
        <v>February</v>
      </c>
      <c r="C59" s="12">
        <v>44596</v>
      </c>
      <c r="D59" s="8"/>
      <c r="E59" s="7" cm="1">
        <f t="array" ref="E59">_xlfn.XMATCH(F59&amp;G59&amp;H59, _xlfn.UNIQUE(F$2:F$369 &amp; G$2:G$369 &amp; H$2:H$369))</f>
        <v>36</v>
      </c>
      <c r="F59" s="8" t="s">
        <v>213</v>
      </c>
      <c r="G59" s="8" t="s">
        <v>214</v>
      </c>
      <c r="H59" s="8" t="s">
        <v>116</v>
      </c>
      <c r="I59" s="8"/>
      <c r="J59" s="7"/>
      <c r="K59" s="8" t="s">
        <v>78</v>
      </c>
      <c r="L59" s="8" t="s">
        <v>79</v>
      </c>
      <c r="M59" s="8" t="s">
        <v>84</v>
      </c>
      <c r="N59" s="7">
        <v>24257</v>
      </c>
      <c r="O59" s="13">
        <v>400000</v>
      </c>
      <c r="P59" s="14">
        <v>0.3</v>
      </c>
      <c r="Q59" s="7">
        <v>16</v>
      </c>
      <c r="R59" s="8" t="s">
        <v>223</v>
      </c>
      <c r="S59" s="15"/>
    </row>
    <row r="60" spans="1:19" x14ac:dyDescent="0.25">
      <c r="A60" s="10">
        <f t="shared" si="0"/>
        <v>2022</v>
      </c>
      <c r="B60" s="11" t="str">
        <f t="shared" si="1"/>
        <v>March</v>
      </c>
      <c r="C60" s="12">
        <v>44625</v>
      </c>
      <c r="D60" s="8" t="s">
        <v>224</v>
      </c>
      <c r="E60" s="7" cm="1">
        <f t="array" ref="E60">_xlfn.XMATCH(F60&amp;G60&amp;H60, _xlfn.UNIQUE(F$2:F$369 &amp; G$2:G$369 &amp; H$2:H$369))</f>
        <v>39</v>
      </c>
      <c r="F60" s="8" t="s">
        <v>225</v>
      </c>
      <c r="G60" s="8" t="s">
        <v>226</v>
      </c>
      <c r="H60" s="8" t="s">
        <v>227</v>
      </c>
      <c r="I60" s="8"/>
      <c r="J60" s="7"/>
      <c r="K60" s="8" t="s">
        <v>22</v>
      </c>
      <c r="L60" s="8" t="s">
        <v>134</v>
      </c>
      <c r="M60" s="8" t="s">
        <v>84</v>
      </c>
      <c r="N60" s="8" t="s">
        <v>228</v>
      </c>
      <c r="O60" s="13">
        <v>330000</v>
      </c>
      <c r="P60" s="14">
        <v>0.4</v>
      </c>
      <c r="Q60" s="7">
        <v>6</v>
      </c>
      <c r="R60" s="8" t="s">
        <v>229</v>
      </c>
      <c r="S60" s="15"/>
    </row>
    <row r="61" spans="1:19" x14ac:dyDescent="0.25">
      <c r="A61" s="10">
        <f t="shared" si="0"/>
        <v>2022</v>
      </c>
      <c r="B61" s="11" t="str">
        <f t="shared" si="1"/>
        <v>April</v>
      </c>
      <c r="C61" s="12">
        <v>44663</v>
      </c>
      <c r="D61" s="8" t="s">
        <v>230</v>
      </c>
      <c r="E61" s="7" cm="1">
        <f t="array" ref="E61">_xlfn.XMATCH(F61&amp;G61&amp;H61, _xlfn.UNIQUE(F$2:F$369 &amp; G$2:G$369 &amp; H$2:H$369))</f>
        <v>40</v>
      </c>
      <c r="F61" s="8" t="s">
        <v>231</v>
      </c>
      <c r="G61" s="8" t="s">
        <v>232</v>
      </c>
      <c r="H61" s="8" t="s">
        <v>46</v>
      </c>
      <c r="I61" s="8"/>
      <c r="J61" s="7"/>
      <c r="K61" s="8" t="s">
        <v>22</v>
      </c>
      <c r="L61" s="8" t="s">
        <v>134</v>
      </c>
      <c r="M61" s="8" t="s">
        <v>84</v>
      </c>
      <c r="N61" s="8" t="s">
        <v>233</v>
      </c>
      <c r="O61" s="13">
        <v>360000</v>
      </c>
      <c r="P61" s="14"/>
      <c r="Q61" s="7" t="s">
        <v>70</v>
      </c>
      <c r="R61" s="8" t="s">
        <v>234</v>
      </c>
      <c r="S61" s="15"/>
    </row>
    <row r="62" spans="1:19" x14ac:dyDescent="0.25">
      <c r="A62" s="10">
        <f t="shared" si="0"/>
        <v>2022</v>
      </c>
      <c r="B62" s="11" t="str">
        <f t="shared" si="1"/>
        <v>April</v>
      </c>
      <c r="C62" s="12">
        <v>44676</v>
      </c>
      <c r="D62" s="8" t="s">
        <v>108</v>
      </c>
      <c r="E62" s="7" cm="1">
        <f t="array" ref="E62">_xlfn.XMATCH(F62&amp;G62&amp;H62, _xlfn.UNIQUE(F$2:F$369 &amp; G$2:G$369 &amp; H$2:H$369))</f>
        <v>34</v>
      </c>
      <c r="F62" s="8" t="s">
        <v>205</v>
      </c>
      <c r="G62" s="8" t="s">
        <v>74</v>
      </c>
      <c r="H62" s="8" t="s">
        <v>75</v>
      </c>
      <c r="I62" s="8"/>
      <c r="J62" s="7"/>
      <c r="K62" s="8" t="s">
        <v>78</v>
      </c>
      <c r="L62" s="8" t="s">
        <v>79</v>
      </c>
      <c r="M62" s="8" t="s">
        <v>84</v>
      </c>
      <c r="N62" s="7">
        <v>24270</v>
      </c>
      <c r="O62" s="13">
        <v>350000</v>
      </c>
      <c r="P62" s="22">
        <v>150000</v>
      </c>
      <c r="Q62" s="7">
        <v>12</v>
      </c>
      <c r="R62" s="8" t="s">
        <v>235</v>
      </c>
      <c r="S62" s="15"/>
    </row>
    <row r="63" spans="1:19" x14ac:dyDescent="0.25">
      <c r="A63" s="10">
        <f t="shared" si="0"/>
        <v>2022</v>
      </c>
      <c r="B63" s="11" t="str">
        <f t="shared" si="1"/>
        <v>May</v>
      </c>
      <c r="C63" s="12">
        <v>44694</v>
      </c>
      <c r="D63" s="8" t="s">
        <v>236</v>
      </c>
      <c r="E63" s="7" cm="1">
        <f t="array" ref="E63">_xlfn.XMATCH(F63&amp;G63&amp;H63, _xlfn.UNIQUE(F$2:F$369 &amp; G$2:G$369 &amp; H$2:H$369))</f>
        <v>41</v>
      </c>
      <c r="F63" s="8" t="s">
        <v>237</v>
      </c>
      <c r="G63" s="8" t="s">
        <v>238</v>
      </c>
      <c r="H63" s="8" t="s">
        <v>196</v>
      </c>
      <c r="I63" s="8"/>
      <c r="J63" s="7"/>
      <c r="K63" s="8" t="s">
        <v>22</v>
      </c>
      <c r="L63" s="8" t="s">
        <v>134</v>
      </c>
      <c r="M63" s="8" t="s">
        <v>239</v>
      </c>
      <c r="N63" s="8" t="s">
        <v>240</v>
      </c>
      <c r="O63" s="13">
        <v>385000</v>
      </c>
      <c r="P63" s="23">
        <v>200000</v>
      </c>
      <c r="Q63" s="7">
        <v>12</v>
      </c>
      <c r="R63" s="8" t="s">
        <v>241</v>
      </c>
      <c r="S63" s="15"/>
    </row>
    <row r="64" spans="1:19" x14ac:dyDescent="0.25">
      <c r="A64" s="10">
        <f t="shared" si="0"/>
        <v>2022</v>
      </c>
      <c r="B64" s="11" t="str">
        <f t="shared" si="1"/>
        <v>May</v>
      </c>
      <c r="C64" s="12">
        <v>44695</v>
      </c>
      <c r="D64" s="8" t="s">
        <v>242</v>
      </c>
      <c r="E64" s="7" cm="1">
        <f t="array" ref="E64">_xlfn.XMATCH(F64&amp;G64&amp;H64, _xlfn.UNIQUE(F$2:F$369 &amp; G$2:G$369 &amp; H$2:H$369))</f>
        <v>42</v>
      </c>
      <c r="F64" s="8" t="s">
        <v>243</v>
      </c>
      <c r="G64" s="8" t="s">
        <v>214</v>
      </c>
      <c r="H64" s="8" t="s">
        <v>116</v>
      </c>
      <c r="I64" s="8"/>
      <c r="J64" s="7"/>
      <c r="K64" s="8" t="s">
        <v>22</v>
      </c>
      <c r="L64" s="8" t="s">
        <v>134</v>
      </c>
      <c r="M64" s="8" t="s">
        <v>244</v>
      </c>
      <c r="N64" s="8" t="s">
        <v>245</v>
      </c>
      <c r="O64" s="13">
        <v>345000</v>
      </c>
      <c r="P64" s="14"/>
      <c r="Q64" s="7" t="s">
        <v>70</v>
      </c>
      <c r="R64" s="8" t="s">
        <v>246</v>
      </c>
      <c r="S64" s="15"/>
    </row>
    <row r="65" spans="1:19" x14ac:dyDescent="0.25">
      <c r="A65" s="10">
        <f t="shared" si="0"/>
        <v>2022</v>
      </c>
      <c r="B65" s="11" t="str">
        <f t="shared" si="1"/>
        <v>May</v>
      </c>
      <c r="C65" s="12">
        <v>44707</v>
      </c>
      <c r="D65" s="8" t="s">
        <v>247</v>
      </c>
      <c r="E65" s="7" cm="1">
        <f t="array" ref="E65">_xlfn.XMATCH(F65&amp;G65&amp;H65, _xlfn.UNIQUE(F$2:F$369 &amp; G$2:G$369 &amp; H$2:H$369))</f>
        <v>43</v>
      </c>
      <c r="F65" s="8" t="s">
        <v>248</v>
      </c>
      <c r="G65" s="8" t="s">
        <v>249</v>
      </c>
      <c r="H65" s="8" t="s">
        <v>46</v>
      </c>
      <c r="I65" s="8"/>
      <c r="J65" s="7"/>
      <c r="K65" s="8" t="s">
        <v>22</v>
      </c>
      <c r="L65" s="8" t="s">
        <v>134</v>
      </c>
      <c r="M65" s="8" t="s">
        <v>84</v>
      </c>
      <c r="N65" s="8" t="s">
        <v>250</v>
      </c>
      <c r="O65" s="13">
        <v>400000</v>
      </c>
      <c r="P65" s="14">
        <v>0.4</v>
      </c>
      <c r="Q65" s="7">
        <v>12</v>
      </c>
      <c r="R65" s="8" t="s">
        <v>251</v>
      </c>
      <c r="S65" s="15"/>
    </row>
    <row r="66" spans="1:19" x14ac:dyDescent="0.25">
      <c r="A66" s="10">
        <f t="shared" ref="A66:A129" si="2">YEAR($C66)</f>
        <v>2022</v>
      </c>
      <c r="B66" s="11" t="str">
        <f t="shared" ref="B66:B129" si="3">TEXT(C66,"mmmm")</f>
        <v>May</v>
      </c>
      <c r="C66" s="12">
        <v>44712</v>
      </c>
      <c r="D66" s="8" t="s">
        <v>252</v>
      </c>
      <c r="E66" s="7" cm="1">
        <f t="array" ref="E66">_xlfn.XMATCH(F66&amp;G66&amp;H66, _xlfn.UNIQUE(F$2:F$369 &amp; G$2:G$369 &amp; H$2:H$369))</f>
        <v>44</v>
      </c>
      <c r="F66" s="8" t="s">
        <v>253</v>
      </c>
      <c r="G66" s="8" t="s">
        <v>254</v>
      </c>
      <c r="H66" s="8" t="s">
        <v>255</v>
      </c>
      <c r="I66" s="8"/>
      <c r="J66" s="7"/>
      <c r="K66" s="8" t="s">
        <v>22</v>
      </c>
      <c r="L66" s="8" t="s">
        <v>134</v>
      </c>
      <c r="M66" s="8" t="s">
        <v>239</v>
      </c>
      <c r="N66" s="8" t="s">
        <v>256</v>
      </c>
      <c r="O66" s="13">
        <v>385000</v>
      </c>
      <c r="P66" s="23">
        <v>154000</v>
      </c>
      <c r="Q66" s="7">
        <v>12</v>
      </c>
      <c r="R66" s="8" t="s">
        <v>251</v>
      </c>
      <c r="S66" s="15"/>
    </row>
    <row r="67" spans="1:19" x14ac:dyDescent="0.25">
      <c r="A67" s="10">
        <f t="shared" si="2"/>
        <v>2022</v>
      </c>
      <c r="B67" s="11" t="str">
        <f t="shared" si="3"/>
        <v>June</v>
      </c>
      <c r="C67" s="12">
        <v>44732</v>
      </c>
      <c r="D67" s="8" t="s">
        <v>257</v>
      </c>
      <c r="E67" s="7" cm="1">
        <f t="array" ref="E67">_xlfn.XMATCH(F67&amp;G67&amp;H67, _xlfn.UNIQUE(F$2:F$369 &amp; G$2:G$369 &amp; H$2:H$369))</f>
        <v>45</v>
      </c>
      <c r="F67" s="8" t="s">
        <v>258</v>
      </c>
      <c r="G67" s="8" t="s">
        <v>133</v>
      </c>
      <c r="H67" s="8" t="s">
        <v>64</v>
      </c>
      <c r="I67" s="8"/>
      <c r="J67" s="7"/>
      <c r="K67" s="8" t="s">
        <v>22</v>
      </c>
      <c r="L67" s="8" t="s">
        <v>134</v>
      </c>
      <c r="M67" s="8" t="s">
        <v>239</v>
      </c>
      <c r="N67" s="8" t="s">
        <v>259</v>
      </c>
      <c r="O67" s="13">
        <v>400000</v>
      </c>
      <c r="P67" s="23">
        <v>1000</v>
      </c>
      <c r="Q67" s="7">
        <v>24</v>
      </c>
      <c r="R67" s="8" t="s">
        <v>251</v>
      </c>
      <c r="S67" s="15"/>
    </row>
    <row r="68" spans="1:19" x14ac:dyDescent="0.25">
      <c r="A68" s="10">
        <f t="shared" si="2"/>
        <v>2022</v>
      </c>
      <c r="B68" s="11" t="str">
        <f t="shared" si="3"/>
        <v>June</v>
      </c>
      <c r="C68" s="12">
        <v>44734</v>
      </c>
      <c r="D68" s="8" t="s">
        <v>260</v>
      </c>
      <c r="E68" s="7" cm="1">
        <f t="array" ref="E68">_xlfn.XMATCH(F68&amp;G68&amp;H68, _xlfn.UNIQUE(F$2:F$369 &amp; G$2:G$369 &amp; H$2:H$369))</f>
        <v>46</v>
      </c>
      <c r="F68" s="8" t="s">
        <v>261</v>
      </c>
      <c r="G68" s="8" t="s">
        <v>262</v>
      </c>
      <c r="H68" s="8" t="s">
        <v>255</v>
      </c>
      <c r="I68" s="8" t="s">
        <v>263</v>
      </c>
      <c r="J68" s="7"/>
      <c r="K68" s="8" t="s">
        <v>78</v>
      </c>
      <c r="L68" s="8" t="s">
        <v>79</v>
      </c>
      <c r="M68" s="8" t="s">
        <v>244</v>
      </c>
      <c r="N68" s="7">
        <v>24152</v>
      </c>
      <c r="O68" s="13">
        <v>360000</v>
      </c>
      <c r="P68" s="14">
        <v>3600</v>
      </c>
      <c r="Q68" s="7" t="s">
        <v>70</v>
      </c>
      <c r="R68" s="8" t="s">
        <v>264</v>
      </c>
      <c r="S68" s="15"/>
    </row>
    <row r="69" spans="1:19" x14ac:dyDescent="0.25">
      <c r="A69" s="10">
        <f t="shared" si="2"/>
        <v>2022</v>
      </c>
      <c r="B69" s="11" t="str">
        <f t="shared" si="3"/>
        <v>July</v>
      </c>
      <c r="C69" s="12">
        <v>44754</v>
      </c>
      <c r="D69" s="8" t="s">
        <v>265</v>
      </c>
      <c r="E69" s="7" cm="1">
        <f t="array" ref="E69">_xlfn.XMATCH(F69&amp;G69&amp;H69, _xlfn.UNIQUE(F$2:F$369 &amp; G$2:G$369 &amp; H$2:H$369))</f>
        <v>47</v>
      </c>
      <c r="F69" s="8" t="s">
        <v>266</v>
      </c>
      <c r="G69" s="8" t="s">
        <v>26</v>
      </c>
      <c r="H69" s="8" t="s">
        <v>27</v>
      </c>
      <c r="I69" s="8" t="s">
        <v>267</v>
      </c>
      <c r="J69" s="7"/>
      <c r="K69" s="8" t="s">
        <v>78</v>
      </c>
      <c r="L69" s="8" t="s">
        <v>79</v>
      </c>
      <c r="M69" s="8" t="s">
        <v>84</v>
      </c>
      <c r="N69" s="7">
        <v>24818</v>
      </c>
      <c r="O69" s="13">
        <v>400000</v>
      </c>
      <c r="P69" s="14">
        <v>0.4</v>
      </c>
      <c r="Q69" s="7">
        <v>12</v>
      </c>
      <c r="R69" s="8" t="s">
        <v>268</v>
      </c>
      <c r="S69" s="15"/>
    </row>
    <row r="70" spans="1:19" x14ac:dyDescent="0.25">
      <c r="A70" s="10">
        <f t="shared" si="2"/>
        <v>2022</v>
      </c>
      <c r="B70" s="11" t="str">
        <f t="shared" si="3"/>
        <v>July</v>
      </c>
      <c r="C70" s="12">
        <v>44754</v>
      </c>
      <c r="D70" s="8" t="s">
        <v>269</v>
      </c>
      <c r="E70" s="7" cm="1">
        <f t="array" ref="E70">_xlfn.XMATCH(F70&amp;G70&amp;H70, _xlfn.UNIQUE(F$2:F$369 &amp; G$2:G$369 &amp; H$2:H$369))</f>
        <v>48</v>
      </c>
      <c r="F70" s="8" t="s">
        <v>270</v>
      </c>
      <c r="G70" s="8" t="s">
        <v>271</v>
      </c>
      <c r="H70" s="8" t="s">
        <v>272</v>
      </c>
      <c r="I70" s="8" t="s">
        <v>273</v>
      </c>
      <c r="J70" s="7"/>
      <c r="K70" s="8" t="s">
        <v>22</v>
      </c>
      <c r="L70" s="8" t="s">
        <v>134</v>
      </c>
      <c r="M70" s="8" t="s">
        <v>84</v>
      </c>
      <c r="N70" s="8" t="s">
        <v>274</v>
      </c>
      <c r="O70" s="13">
        <v>330000</v>
      </c>
      <c r="P70" s="14">
        <v>0.4</v>
      </c>
      <c r="Q70" s="7">
        <v>12</v>
      </c>
      <c r="R70" s="8" t="s">
        <v>275</v>
      </c>
      <c r="S70" s="15"/>
    </row>
    <row r="71" spans="1:19" x14ac:dyDescent="0.25">
      <c r="A71" s="10">
        <f t="shared" si="2"/>
        <v>2022</v>
      </c>
      <c r="B71" s="11" t="str">
        <f t="shared" si="3"/>
        <v>July</v>
      </c>
      <c r="C71" s="12">
        <v>44754</v>
      </c>
      <c r="D71" s="8" t="s">
        <v>276</v>
      </c>
      <c r="E71" s="7" cm="1">
        <f t="array" ref="E71">_xlfn.XMATCH(F71&amp;G71&amp;H71, _xlfn.UNIQUE(F$2:F$369 &amp; G$2:G$369 &amp; H$2:H$369))</f>
        <v>49</v>
      </c>
      <c r="F71" s="8" t="s">
        <v>277</v>
      </c>
      <c r="G71" s="8" t="s">
        <v>30</v>
      </c>
      <c r="H71" s="8" t="s">
        <v>21</v>
      </c>
      <c r="I71" s="8" t="s">
        <v>278</v>
      </c>
      <c r="J71" s="7"/>
      <c r="K71" s="8" t="s">
        <v>22</v>
      </c>
      <c r="L71" s="8" t="s">
        <v>134</v>
      </c>
      <c r="M71" s="8" t="s">
        <v>84</v>
      </c>
      <c r="N71" s="24" t="s">
        <v>279</v>
      </c>
      <c r="O71" s="13">
        <v>435000</v>
      </c>
      <c r="P71" s="14">
        <v>0.3</v>
      </c>
      <c r="Q71" s="7">
        <v>12</v>
      </c>
      <c r="R71" s="8" t="s">
        <v>280</v>
      </c>
      <c r="S71" s="15"/>
    </row>
    <row r="72" spans="1:19" x14ac:dyDescent="0.25">
      <c r="A72" s="18">
        <f t="shared" si="2"/>
        <v>2022</v>
      </c>
      <c r="B72" s="11" t="str">
        <f t="shared" si="3"/>
        <v>July</v>
      </c>
      <c r="C72" s="12">
        <v>44754</v>
      </c>
      <c r="D72" s="7" t="s">
        <v>281</v>
      </c>
      <c r="E72" s="7" cm="1">
        <f t="array" ref="E72">_xlfn.XMATCH(F72&amp;G72&amp;H72, _xlfn.UNIQUE(F$2:F$369 &amp; G$2:G$369 &amp; H$2:H$369))</f>
        <v>50</v>
      </c>
      <c r="F72" s="8" t="s">
        <v>282</v>
      </c>
      <c r="G72" s="8" t="s">
        <v>283</v>
      </c>
      <c r="H72" s="8" t="s">
        <v>284</v>
      </c>
      <c r="I72" s="8" t="s">
        <v>285</v>
      </c>
      <c r="J72" s="7"/>
      <c r="K72" s="8" t="s">
        <v>78</v>
      </c>
      <c r="L72" s="8" t="s">
        <v>79</v>
      </c>
      <c r="M72" s="8" t="s">
        <v>84</v>
      </c>
      <c r="N72" s="7">
        <v>24812</v>
      </c>
      <c r="O72" s="19">
        <v>350000</v>
      </c>
      <c r="P72" s="23">
        <v>200000</v>
      </c>
      <c r="Q72" s="7">
        <v>1</v>
      </c>
      <c r="R72" s="8" t="s">
        <v>110</v>
      </c>
      <c r="S72" s="15"/>
    </row>
    <row r="73" spans="1:19" x14ac:dyDescent="0.25">
      <c r="A73" s="10">
        <f t="shared" si="2"/>
        <v>2022</v>
      </c>
      <c r="B73" s="11" t="str">
        <f t="shared" si="3"/>
        <v>July</v>
      </c>
      <c r="C73" s="12">
        <v>44756</v>
      </c>
      <c r="D73" s="8" t="s">
        <v>286</v>
      </c>
      <c r="E73" s="7" cm="1">
        <f t="array" ref="E73">_xlfn.XMATCH(F73&amp;G73&amp;H73, _xlfn.UNIQUE(F$2:F$369 &amp; G$2:G$369 &amp; H$2:H$369))</f>
        <v>51</v>
      </c>
      <c r="F73" s="8" t="s">
        <v>287</v>
      </c>
      <c r="G73" s="8" t="s">
        <v>288</v>
      </c>
      <c r="H73" s="8" t="s">
        <v>289</v>
      </c>
      <c r="I73" s="8"/>
      <c r="J73" s="7"/>
      <c r="K73" s="8" t="s">
        <v>22</v>
      </c>
      <c r="L73" s="8" t="s">
        <v>134</v>
      </c>
      <c r="M73" s="8" t="s">
        <v>84</v>
      </c>
      <c r="N73" s="24" t="s">
        <v>290</v>
      </c>
      <c r="O73" s="13">
        <v>400000</v>
      </c>
      <c r="P73" s="14">
        <v>0.4</v>
      </c>
      <c r="Q73" s="7">
        <v>12</v>
      </c>
      <c r="R73" s="8" t="s">
        <v>280</v>
      </c>
      <c r="S73" s="15"/>
    </row>
    <row r="74" spans="1:19" x14ac:dyDescent="0.25">
      <c r="A74" s="10">
        <f t="shared" si="2"/>
        <v>2022</v>
      </c>
      <c r="B74" s="11" t="str">
        <f t="shared" si="3"/>
        <v>July</v>
      </c>
      <c r="C74" s="12">
        <v>44758</v>
      </c>
      <c r="D74" s="8" t="s">
        <v>291</v>
      </c>
      <c r="E74" s="7" cm="1">
        <f t="array" ref="E74">_xlfn.XMATCH(F74&amp;G74&amp;H74, _xlfn.UNIQUE(F$2:F$369 &amp; G$2:G$369 &amp; H$2:H$369))</f>
        <v>52</v>
      </c>
      <c r="F74" s="8" t="s">
        <v>292</v>
      </c>
      <c r="G74" s="8" t="s">
        <v>214</v>
      </c>
      <c r="H74" s="8" t="s">
        <v>116</v>
      </c>
      <c r="I74" s="8" t="s">
        <v>293</v>
      </c>
      <c r="J74" s="7"/>
      <c r="K74" s="8" t="s">
        <v>78</v>
      </c>
      <c r="L74" s="8" t="s">
        <v>79</v>
      </c>
      <c r="M74" s="8" t="s">
        <v>84</v>
      </c>
      <c r="N74" s="7">
        <v>24810</v>
      </c>
      <c r="O74" s="13">
        <v>385000</v>
      </c>
      <c r="P74" s="14">
        <v>0.4</v>
      </c>
      <c r="Q74" s="7">
        <v>12</v>
      </c>
      <c r="R74" s="8" t="s">
        <v>110</v>
      </c>
      <c r="S74" s="15"/>
    </row>
    <row r="75" spans="1:19" x14ac:dyDescent="0.25">
      <c r="A75" s="10">
        <f t="shared" si="2"/>
        <v>2022</v>
      </c>
      <c r="B75" s="11" t="str">
        <f t="shared" si="3"/>
        <v>July</v>
      </c>
      <c r="C75" s="12">
        <v>44768</v>
      </c>
      <c r="D75" s="8" t="s">
        <v>294</v>
      </c>
      <c r="E75" s="7" cm="1">
        <f t="array" ref="E75">_xlfn.XMATCH(F75&amp;G75&amp;H75, _xlfn.UNIQUE(F$2:F$369 &amp; G$2:G$369 &amp; H$2:H$369))</f>
        <v>53</v>
      </c>
      <c r="F75" s="8" t="s">
        <v>295</v>
      </c>
      <c r="G75" s="8" t="s">
        <v>296</v>
      </c>
      <c r="H75" s="8" t="s">
        <v>52</v>
      </c>
      <c r="I75" s="8" t="s">
        <v>297</v>
      </c>
      <c r="J75" s="7"/>
      <c r="K75" s="8" t="s">
        <v>22</v>
      </c>
      <c r="L75" s="8" t="s">
        <v>134</v>
      </c>
      <c r="M75" s="8" t="s">
        <v>84</v>
      </c>
      <c r="N75" s="8" t="s">
        <v>298</v>
      </c>
      <c r="O75" s="13">
        <v>400000</v>
      </c>
      <c r="P75" s="14">
        <v>0.4</v>
      </c>
      <c r="Q75" s="7">
        <v>12</v>
      </c>
      <c r="R75" s="8" t="s">
        <v>280</v>
      </c>
      <c r="S75" s="15"/>
    </row>
    <row r="76" spans="1:19" x14ac:dyDescent="0.25">
      <c r="A76" s="10">
        <f t="shared" si="2"/>
        <v>2022</v>
      </c>
      <c r="B76" s="11" t="str">
        <f t="shared" si="3"/>
        <v>July</v>
      </c>
      <c r="C76" s="12">
        <v>44768</v>
      </c>
      <c r="D76" s="8" t="s">
        <v>299</v>
      </c>
      <c r="E76" s="7" cm="1">
        <f t="array" ref="E76">_xlfn.XMATCH(F76&amp;G76&amp;H76, _xlfn.UNIQUE(F$2:F$369 &amp; G$2:G$369 &amp; H$2:H$369))</f>
        <v>54</v>
      </c>
      <c r="F76" s="8" t="s">
        <v>300</v>
      </c>
      <c r="G76" s="8" t="s">
        <v>301</v>
      </c>
      <c r="H76" s="8" t="s">
        <v>46</v>
      </c>
      <c r="I76" s="8"/>
      <c r="J76" s="7"/>
      <c r="K76" s="8" t="s">
        <v>22</v>
      </c>
      <c r="L76" s="8" t="s">
        <v>134</v>
      </c>
      <c r="M76" s="8" t="s">
        <v>84</v>
      </c>
      <c r="N76" s="8" t="s">
        <v>302</v>
      </c>
      <c r="O76" s="13">
        <v>400000</v>
      </c>
      <c r="P76" s="14">
        <v>0.4</v>
      </c>
      <c r="Q76" s="7">
        <v>12</v>
      </c>
      <c r="R76" s="8" t="s">
        <v>280</v>
      </c>
      <c r="S76" s="15"/>
    </row>
    <row r="77" spans="1:19" x14ac:dyDescent="0.25">
      <c r="A77" s="10">
        <f t="shared" si="2"/>
        <v>2022</v>
      </c>
      <c r="B77" s="11" t="str">
        <f t="shared" si="3"/>
        <v>July</v>
      </c>
      <c r="C77" s="12">
        <v>44769</v>
      </c>
      <c r="D77" s="8" t="s">
        <v>303</v>
      </c>
      <c r="E77" s="7" cm="1">
        <f t="array" ref="E77">_xlfn.XMATCH(F77&amp;G77&amp;H77, _xlfn.UNIQUE(F$2:F$369 &amp; G$2:G$369 &amp; H$2:H$369))</f>
        <v>55</v>
      </c>
      <c r="F77" s="8" t="s">
        <v>304</v>
      </c>
      <c r="G77" s="8" t="s">
        <v>305</v>
      </c>
      <c r="H77" s="8" t="s">
        <v>227</v>
      </c>
      <c r="I77" s="8" t="s">
        <v>306</v>
      </c>
      <c r="J77" s="7"/>
      <c r="K77" s="8" t="s">
        <v>22</v>
      </c>
      <c r="L77" s="8" t="s">
        <v>134</v>
      </c>
      <c r="M77" s="8" t="s">
        <v>84</v>
      </c>
      <c r="N77" s="8" t="s">
        <v>307</v>
      </c>
      <c r="O77" s="13">
        <v>400000</v>
      </c>
      <c r="P77" s="14">
        <v>0.4</v>
      </c>
      <c r="Q77" s="7">
        <v>24</v>
      </c>
      <c r="R77" s="8" t="s">
        <v>308</v>
      </c>
      <c r="S77" s="15"/>
    </row>
    <row r="78" spans="1:19" x14ac:dyDescent="0.25">
      <c r="A78" s="10">
        <f t="shared" si="2"/>
        <v>2022</v>
      </c>
      <c r="B78" s="11" t="str">
        <f t="shared" si="3"/>
        <v>July</v>
      </c>
      <c r="C78" s="12">
        <v>44769</v>
      </c>
      <c r="D78" s="8" t="s">
        <v>303</v>
      </c>
      <c r="E78" s="7" cm="1">
        <f t="array" ref="E78">_xlfn.XMATCH(F78&amp;G78&amp;H78, _xlfn.UNIQUE(F$2:F$369 &amp; G$2:G$369 &amp; H$2:H$369))</f>
        <v>55</v>
      </c>
      <c r="F78" s="8" t="s">
        <v>304</v>
      </c>
      <c r="G78" s="8" t="s">
        <v>305</v>
      </c>
      <c r="H78" s="8" t="s">
        <v>227</v>
      </c>
      <c r="I78" s="8" t="s">
        <v>306</v>
      </c>
      <c r="J78" s="7"/>
      <c r="K78" s="8" t="s">
        <v>78</v>
      </c>
      <c r="L78" s="8" t="s">
        <v>79</v>
      </c>
      <c r="M78" s="8" t="s">
        <v>84</v>
      </c>
      <c r="N78" s="7">
        <v>24965</v>
      </c>
      <c r="O78" s="13">
        <v>400000</v>
      </c>
      <c r="P78" s="14">
        <v>0.4</v>
      </c>
      <c r="Q78" s="7">
        <v>24</v>
      </c>
      <c r="R78" s="8" t="s">
        <v>110</v>
      </c>
      <c r="S78" s="15"/>
    </row>
    <row r="79" spans="1:19" x14ac:dyDescent="0.25">
      <c r="A79" s="18">
        <f t="shared" si="2"/>
        <v>2022</v>
      </c>
      <c r="B79" s="11" t="str">
        <f t="shared" si="3"/>
        <v>August</v>
      </c>
      <c r="C79" s="12">
        <v>44781</v>
      </c>
      <c r="D79" s="7" t="s">
        <v>309</v>
      </c>
      <c r="E79" s="7" cm="1">
        <f t="array" ref="E79">_xlfn.XMATCH(F79&amp;G79&amp;H79, _xlfn.UNIQUE(F$2:F$369 &amp; G$2:G$369 &amp; H$2:H$369))</f>
        <v>56</v>
      </c>
      <c r="F79" s="8" t="s">
        <v>310</v>
      </c>
      <c r="G79" s="8" t="s">
        <v>311</v>
      </c>
      <c r="H79" s="8" t="s">
        <v>312</v>
      </c>
      <c r="I79" s="8" t="s">
        <v>313</v>
      </c>
      <c r="J79" s="7"/>
      <c r="K79" s="8" t="s">
        <v>22</v>
      </c>
      <c r="L79" s="8" t="s">
        <v>134</v>
      </c>
      <c r="M79" s="8" t="s">
        <v>84</v>
      </c>
      <c r="N79" s="8" t="s">
        <v>314</v>
      </c>
      <c r="O79" s="19">
        <v>350000</v>
      </c>
      <c r="P79" s="14">
        <v>0.5</v>
      </c>
      <c r="Q79" s="7">
        <v>1</v>
      </c>
      <c r="R79" s="8" t="s">
        <v>308</v>
      </c>
      <c r="S79" s="15"/>
    </row>
    <row r="80" spans="1:19" x14ac:dyDescent="0.25">
      <c r="A80" s="10">
        <f t="shared" si="2"/>
        <v>2022</v>
      </c>
      <c r="B80" s="11" t="str">
        <f t="shared" si="3"/>
        <v>August</v>
      </c>
      <c r="C80" s="12">
        <v>44782</v>
      </c>
      <c r="D80" s="8" t="s">
        <v>200</v>
      </c>
      <c r="E80" s="7" cm="1">
        <f t="array" ref="E80">_xlfn.XMATCH(F80&amp;G80&amp;H80, _xlfn.UNIQUE(F$2:F$369 &amp; G$2:G$369 &amp; H$2:H$369))</f>
        <v>57</v>
      </c>
      <c r="F80" s="8" t="s">
        <v>315</v>
      </c>
      <c r="G80" s="8" t="s">
        <v>316</v>
      </c>
      <c r="H80" s="8" t="s">
        <v>64</v>
      </c>
      <c r="I80" s="8" t="s">
        <v>317</v>
      </c>
      <c r="J80" s="7"/>
      <c r="K80" s="8" t="s">
        <v>22</v>
      </c>
      <c r="L80" s="8" t="s">
        <v>134</v>
      </c>
      <c r="M80" s="8" t="s">
        <v>84</v>
      </c>
      <c r="N80" s="8" t="s">
        <v>318</v>
      </c>
      <c r="O80" s="13">
        <v>400000</v>
      </c>
      <c r="P80" s="14">
        <v>0.25</v>
      </c>
      <c r="Q80" s="7">
        <v>20</v>
      </c>
      <c r="R80" s="8" t="s">
        <v>280</v>
      </c>
      <c r="S80" s="15"/>
    </row>
    <row r="81" spans="1:19" x14ac:dyDescent="0.25">
      <c r="A81" s="10">
        <f t="shared" si="2"/>
        <v>2022</v>
      </c>
      <c r="B81" s="11" t="str">
        <f t="shared" si="3"/>
        <v>August</v>
      </c>
      <c r="C81" s="12">
        <v>44783</v>
      </c>
      <c r="D81" s="8" t="s">
        <v>319</v>
      </c>
      <c r="E81" s="7" cm="1">
        <f t="array" ref="E81">_xlfn.XMATCH(F81&amp;G81&amp;H81, _xlfn.UNIQUE(F$2:F$369 &amp; G$2:G$369 &amp; H$2:H$369))</f>
        <v>46</v>
      </c>
      <c r="F81" s="8" t="s">
        <v>261</v>
      </c>
      <c r="G81" s="8" t="s">
        <v>262</v>
      </c>
      <c r="H81" s="8" t="s">
        <v>255</v>
      </c>
      <c r="I81" s="8" t="s">
        <v>263</v>
      </c>
      <c r="J81" s="7"/>
      <c r="K81" s="8" t="s">
        <v>22</v>
      </c>
      <c r="L81" s="8" t="s">
        <v>134</v>
      </c>
      <c r="M81" s="8" t="s">
        <v>84</v>
      </c>
      <c r="N81" s="8" t="s">
        <v>320</v>
      </c>
      <c r="O81" s="13">
        <v>410000</v>
      </c>
      <c r="P81" s="14">
        <v>0.55000000000000004</v>
      </c>
      <c r="Q81" s="7">
        <v>12</v>
      </c>
      <c r="R81" s="8" t="s">
        <v>308</v>
      </c>
      <c r="S81" s="15"/>
    </row>
    <row r="82" spans="1:19" x14ac:dyDescent="0.25">
      <c r="A82" s="10">
        <f t="shared" si="2"/>
        <v>2022</v>
      </c>
      <c r="B82" s="11" t="str">
        <f t="shared" si="3"/>
        <v>August</v>
      </c>
      <c r="C82" s="12">
        <v>44803</v>
      </c>
      <c r="D82" s="8" t="s">
        <v>321</v>
      </c>
      <c r="E82" s="7" cm="1">
        <f t="array" ref="E82">_xlfn.XMATCH(F82&amp;G82&amp;H82, _xlfn.UNIQUE(F$2:F$369 &amp; G$2:G$369 &amp; H$2:H$369))</f>
        <v>58</v>
      </c>
      <c r="F82" s="8" t="s">
        <v>322</v>
      </c>
      <c r="G82" s="8" t="s">
        <v>232</v>
      </c>
      <c r="H82" s="8" t="s">
        <v>46</v>
      </c>
      <c r="I82" s="8" t="s">
        <v>323</v>
      </c>
      <c r="J82" s="7"/>
      <c r="K82" s="8" t="s">
        <v>22</v>
      </c>
      <c r="L82" s="8" t="s">
        <v>134</v>
      </c>
      <c r="M82" s="8" t="s">
        <v>84</v>
      </c>
      <c r="N82" s="8" t="s">
        <v>324</v>
      </c>
      <c r="O82" s="13">
        <v>400000</v>
      </c>
      <c r="P82" s="14">
        <v>0.15</v>
      </c>
      <c r="Q82" s="7">
        <v>12</v>
      </c>
      <c r="R82" s="8" t="s">
        <v>280</v>
      </c>
      <c r="S82" s="15"/>
    </row>
    <row r="83" spans="1:19" x14ac:dyDescent="0.25">
      <c r="A83" s="10">
        <f t="shared" si="2"/>
        <v>2022</v>
      </c>
      <c r="B83" s="11" t="str">
        <f t="shared" si="3"/>
        <v>September</v>
      </c>
      <c r="C83" s="12">
        <v>44809</v>
      </c>
      <c r="D83" s="8" t="s">
        <v>325</v>
      </c>
      <c r="E83" s="7" cm="1">
        <f t="array" ref="E83">_xlfn.XMATCH(F83&amp;G83&amp;H83, _xlfn.UNIQUE(F$2:F$369 &amp; G$2:G$369 &amp; H$2:H$369))</f>
        <v>59</v>
      </c>
      <c r="F83" s="8" t="s">
        <v>326</v>
      </c>
      <c r="G83" s="8" t="s">
        <v>327</v>
      </c>
      <c r="H83" s="8" t="s">
        <v>21</v>
      </c>
      <c r="I83" s="8" t="s">
        <v>328</v>
      </c>
      <c r="J83" s="7"/>
      <c r="K83" s="8" t="s">
        <v>22</v>
      </c>
      <c r="L83" s="8" t="s">
        <v>134</v>
      </c>
      <c r="M83" s="8" t="s">
        <v>84</v>
      </c>
      <c r="N83" s="8" t="s">
        <v>329</v>
      </c>
      <c r="O83" s="13">
        <v>600000</v>
      </c>
      <c r="P83" s="14">
        <v>0.16</v>
      </c>
      <c r="Q83" s="7">
        <v>36</v>
      </c>
      <c r="R83" s="8" t="s">
        <v>280</v>
      </c>
      <c r="S83" s="15"/>
    </row>
    <row r="84" spans="1:19" x14ac:dyDescent="0.25">
      <c r="A84" s="10">
        <f t="shared" si="2"/>
        <v>2022</v>
      </c>
      <c r="B84" s="11" t="str">
        <f t="shared" si="3"/>
        <v>September</v>
      </c>
      <c r="C84" s="12">
        <v>44809</v>
      </c>
      <c r="D84" s="8" t="s">
        <v>325</v>
      </c>
      <c r="E84" s="7" cm="1">
        <f t="array" ref="E84">_xlfn.XMATCH(F84&amp;G84&amp;H84, _xlfn.UNIQUE(F$2:F$369 &amp; G$2:G$369 &amp; H$2:H$369))</f>
        <v>59</v>
      </c>
      <c r="F84" s="8" t="s">
        <v>326</v>
      </c>
      <c r="G84" s="8" t="s">
        <v>327</v>
      </c>
      <c r="H84" s="8" t="s">
        <v>21</v>
      </c>
      <c r="I84" s="8" t="s">
        <v>328</v>
      </c>
      <c r="J84" s="7"/>
      <c r="K84" s="8" t="s">
        <v>78</v>
      </c>
      <c r="L84" s="8" t="s">
        <v>79</v>
      </c>
      <c r="M84" s="8" t="s">
        <v>84</v>
      </c>
      <c r="N84" s="7">
        <v>24978</v>
      </c>
      <c r="O84" s="13">
        <v>400000</v>
      </c>
      <c r="P84" s="14">
        <v>0.25</v>
      </c>
      <c r="Q84" s="7">
        <v>36</v>
      </c>
      <c r="R84" s="8" t="s">
        <v>166</v>
      </c>
      <c r="S84" s="15"/>
    </row>
    <row r="85" spans="1:19" x14ac:dyDescent="0.25">
      <c r="A85" s="10">
        <f t="shared" si="2"/>
        <v>2022</v>
      </c>
      <c r="B85" s="11" t="str">
        <f t="shared" si="3"/>
        <v>September</v>
      </c>
      <c r="C85" s="12">
        <v>44811</v>
      </c>
      <c r="D85" s="8" t="s">
        <v>330</v>
      </c>
      <c r="E85" s="7" cm="1">
        <f t="array" ref="E85">_xlfn.XMATCH(F85&amp;G85&amp;H85, _xlfn.UNIQUE(F$2:F$369 &amp; G$2:G$369 &amp; H$2:H$369))</f>
        <v>60</v>
      </c>
      <c r="F85" s="8" t="s">
        <v>331</v>
      </c>
      <c r="G85" s="8" t="s">
        <v>332</v>
      </c>
      <c r="H85" s="8" t="s">
        <v>27</v>
      </c>
      <c r="I85" s="8" t="s">
        <v>333</v>
      </c>
      <c r="J85" s="7"/>
      <c r="K85" s="8" t="s">
        <v>22</v>
      </c>
      <c r="L85" s="8" t="s">
        <v>134</v>
      </c>
      <c r="M85" s="8" t="s">
        <v>84</v>
      </c>
      <c r="N85" s="8" t="s">
        <v>334</v>
      </c>
      <c r="O85" s="13">
        <v>385000</v>
      </c>
      <c r="P85" s="14">
        <v>0.25</v>
      </c>
      <c r="Q85" s="7">
        <v>18</v>
      </c>
      <c r="R85" s="8" t="s">
        <v>280</v>
      </c>
      <c r="S85" s="15"/>
    </row>
    <row r="86" spans="1:19" x14ac:dyDescent="0.25">
      <c r="A86" s="10">
        <f t="shared" si="2"/>
        <v>2022</v>
      </c>
      <c r="B86" s="11" t="str">
        <f t="shared" si="3"/>
        <v>September</v>
      </c>
      <c r="C86" s="12">
        <v>44812</v>
      </c>
      <c r="D86" s="8" t="s">
        <v>335</v>
      </c>
      <c r="E86" s="7" cm="1">
        <f t="array" ref="E86">_xlfn.XMATCH(F86&amp;G86&amp;H86, _xlfn.UNIQUE(F$2:F$369 &amp; G$2:G$369 &amp; H$2:H$369))</f>
        <v>61</v>
      </c>
      <c r="F86" s="8" t="s">
        <v>336</v>
      </c>
      <c r="G86" s="8" t="s">
        <v>337</v>
      </c>
      <c r="H86" s="8" t="s">
        <v>338</v>
      </c>
      <c r="I86" s="8" t="s">
        <v>339</v>
      </c>
      <c r="J86" s="7"/>
      <c r="K86" s="8" t="s">
        <v>22</v>
      </c>
      <c r="L86" s="8" t="s">
        <v>134</v>
      </c>
      <c r="M86" s="8" t="s">
        <v>84</v>
      </c>
      <c r="N86" s="8" t="s">
        <v>340</v>
      </c>
      <c r="O86" s="13">
        <v>400000</v>
      </c>
      <c r="P86" s="14">
        <v>0.4</v>
      </c>
      <c r="Q86" s="7">
        <v>12</v>
      </c>
      <c r="R86" s="8" t="s">
        <v>280</v>
      </c>
      <c r="S86" s="15"/>
    </row>
    <row r="87" spans="1:19" x14ac:dyDescent="0.25">
      <c r="A87" s="10">
        <f t="shared" si="2"/>
        <v>2022</v>
      </c>
      <c r="B87" s="11" t="str">
        <f t="shared" si="3"/>
        <v>September</v>
      </c>
      <c r="C87" s="12">
        <v>44832</v>
      </c>
      <c r="D87" s="8" t="s">
        <v>341</v>
      </c>
      <c r="E87" s="7" cm="1">
        <f t="array" ref="E87">_xlfn.XMATCH(F87&amp;G87&amp;H87, _xlfn.UNIQUE(F$2:F$369 &amp; G$2:G$369 &amp; H$2:H$369))</f>
        <v>2</v>
      </c>
      <c r="F87" s="8" t="s">
        <v>25</v>
      </c>
      <c r="G87" s="8" t="s">
        <v>26</v>
      </c>
      <c r="H87" s="8" t="s">
        <v>27</v>
      </c>
      <c r="I87" s="8" t="s">
        <v>342</v>
      </c>
      <c r="J87" s="7"/>
      <c r="K87" s="8" t="s">
        <v>91</v>
      </c>
      <c r="L87" s="8" t="s">
        <v>343</v>
      </c>
      <c r="M87" s="8" t="s">
        <v>84</v>
      </c>
      <c r="N87" s="8" t="s">
        <v>344</v>
      </c>
      <c r="O87" s="13">
        <v>450000</v>
      </c>
      <c r="P87" s="14">
        <v>0.4</v>
      </c>
      <c r="Q87" s="7">
        <v>24</v>
      </c>
      <c r="R87" s="8" t="s">
        <v>345</v>
      </c>
      <c r="S87" s="15"/>
    </row>
    <row r="88" spans="1:19" x14ac:dyDescent="0.25">
      <c r="A88" s="10">
        <f t="shared" si="2"/>
        <v>2022</v>
      </c>
      <c r="B88" s="11" t="str">
        <f t="shared" si="3"/>
        <v>October</v>
      </c>
      <c r="C88" s="12">
        <v>44847</v>
      </c>
      <c r="D88" s="8" t="s">
        <v>346</v>
      </c>
      <c r="E88" s="7" cm="1">
        <f t="array" ref="E88">_xlfn.XMATCH(F88&amp;G88&amp;H88, _xlfn.UNIQUE(F$2:F$369 &amp; G$2:G$369 &amp; H$2:H$369))</f>
        <v>62</v>
      </c>
      <c r="F88" s="8" t="s">
        <v>347</v>
      </c>
      <c r="G88" s="8" t="s">
        <v>348</v>
      </c>
      <c r="H88" s="8" t="s">
        <v>46</v>
      </c>
      <c r="I88" s="8" t="s">
        <v>349</v>
      </c>
      <c r="J88" s="7"/>
      <c r="K88" s="8" t="s">
        <v>68</v>
      </c>
      <c r="L88" s="8" t="s">
        <v>350</v>
      </c>
      <c r="M88" s="8" t="s">
        <v>351</v>
      </c>
      <c r="N88" s="8" t="s">
        <v>352</v>
      </c>
      <c r="O88" s="13">
        <v>1800000</v>
      </c>
      <c r="P88" s="23">
        <v>500000</v>
      </c>
      <c r="Q88" s="7">
        <v>36</v>
      </c>
      <c r="R88" s="8" t="s">
        <v>353</v>
      </c>
      <c r="S88" s="15"/>
    </row>
    <row r="89" spans="1:19" x14ac:dyDescent="0.25">
      <c r="A89" s="10">
        <f t="shared" si="2"/>
        <v>2022</v>
      </c>
      <c r="B89" s="11" t="str">
        <f t="shared" si="3"/>
        <v>October</v>
      </c>
      <c r="C89" s="12">
        <v>44852</v>
      </c>
      <c r="D89" s="8" t="s">
        <v>354</v>
      </c>
      <c r="E89" s="7" cm="1">
        <f t="array" ref="E89">_xlfn.XMATCH(F89&amp;G89&amp;H89, _xlfn.UNIQUE(F$2:F$369 &amp; G$2:G$369 &amp; H$2:H$369))</f>
        <v>63</v>
      </c>
      <c r="F89" s="8" t="s">
        <v>355</v>
      </c>
      <c r="G89" s="8" t="s">
        <v>356</v>
      </c>
      <c r="H89" s="8" t="s">
        <v>357</v>
      </c>
      <c r="I89" s="8" t="s">
        <v>358</v>
      </c>
      <c r="J89" s="7"/>
      <c r="K89" s="8" t="s">
        <v>22</v>
      </c>
      <c r="L89" s="8" t="s">
        <v>134</v>
      </c>
      <c r="M89" s="8" t="s">
        <v>84</v>
      </c>
      <c r="N89" s="25" t="s">
        <v>359</v>
      </c>
      <c r="O89" s="13">
        <v>435000</v>
      </c>
      <c r="P89" s="23">
        <v>200000</v>
      </c>
      <c r="Q89" s="7">
        <v>18</v>
      </c>
      <c r="R89" s="8" t="s">
        <v>280</v>
      </c>
      <c r="S89" s="15"/>
    </row>
    <row r="90" spans="1:19" x14ac:dyDescent="0.25">
      <c r="A90" s="10">
        <f t="shared" si="2"/>
        <v>2022</v>
      </c>
      <c r="B90" s="11" t="str">
        <f t="shared" si="3"/>
        <v>October</v>
      </c>
      <c r="C90" s="12">
        <v>44859</v>
      </c>
      <c r="D90" s="8" t="s">
        <v>360</v>
      </c>
      <c r="E90" s="7" cm="1">
        <f t="array" ref="E90">_xlfn.XMATCH(F90&amp;G90&amp;H90, _xlfn.UNIQUE(F$2:F$369 &amp; G$2:G$369 &amp; H$2:H$369))</f>
        <v>64</v>
      </c>
      <c r="F90" s="8" t="s">
        <v>361</v>
      </c>
      <c r="G90" s="8" t="s">
        <v>362</v>
      </c>
      <c r="H90" s="8" t="s">
        <v>196</v>
      </c>
      <c r="I90" s="8"/>
      <c r="J90" s="7"/>
      <c r="K90" s="8" t="s">
        <v>22</v>
      </c>
      <c r="L90" s="8" t="s">
        <v>134</v>
      </c>
      <c r="M90" s="8" t="s">
        <v>84</v>
      </c>
      <c r="N90" s="8" t="s">
        <v>363</v>
      </c>
      <c r="O90" s="13">
        <v>400000</v>
      </c>
      <c r="P90" s="14">
        <v>0.3</v>
      </c>
      <c r="Q90" s="7">
        <v>12</v>
      </c>
      <c r="R90" s="8" t="s">
        <v>280</v>
      </c>
      <c r="S90" s="15"/>
    </row>
    <row r="91" spans="1:19" x14ac:dyDescent="0.25">
      <c r="A91" s="10">
        <f t="shared" si="2"/>
        <v>2022</v>
      </c>
      <c r="B91" s="11" t="str">
        <f t="shared" si="3"/>
        <v>October</v>
      </c>
      <c r="C91" s="12">
        <v>44861</v>
      </c>
      <c r="D91" s="8" t="s">
        <v>364</v>
      </c>
      <c r="E91" s="7" cm="1">
        <f t="array" ref="E91">_xlfn.XMATCH(F91&amp;G91&amp;H91, _xlfn.UNIQUE(F$2:F$369 &amp; G$2:G$369 &amp; H$2:H$369))</f>
        <v>65</v>
      </c>
      <c r="F91" s="8" t="s">
        <v>365</v>
      </c>
      <c r="G91" s="8" t="s">
        <v>366</v>
      </c>
      <c r="H91" s="8" t="s">
        <v>367</v>
      </c>
      <c r="I91" s="8" t="s">
        <v>368</v>
      </c>
      <c r="J91" s="7"/>
      <c r="K91" s="8" t="s">
        <v>22</v>
      </c>
      <c r="L91" s="8" t="s">
        <v>134</v>
      </c>
      <c r="M91" s="8" t="s">
        <v>84</v>
      </c>
      <c r="N91" s="8" t="s">
        <v>369</v>
      </c>
      <c r="O91" s="13">
        <v>400000</v>
      </c>
      <c r="P91" s="14"/>
      <c r="Q91" s="7" t="s">
        <v>70</v>
      </c>
      <c r="R91" s="8" t="s">
        <v>370</v>
      </c>
      <c r="S91" s="15"/>
    </row>
    <row r="92" spans="1:19" x14ac:dyDescent="0.25">
      <c r="A92" s="10">
        <f t="shared" si="2"/>
        <v>2022</v>
      </c>
      <c r="B92" s="11" t="str">
        <f t="shared" si="3"/>
        <v>November</v>
      </c>
      <c r="C92" s="12">
        <v>44883</v>
      </c>
      <c r="D92" s="8" t="s">
        <v>371</v>
      </c>
      <c r="E92" s="7" cm="1">
        <f t="array" ref="E92">_xlfn.XMATCH(F92&amp;G92&amp;H92, _xlfn.UNIQUE(F$2:F$369 &amp; G$2:G$369 &amp; H$2:H$369))</f>
        <v>64</v>
      </c>
      <c r="F92" s="8" t="s">
        <v>361</v>
      </c>
      <c r="G92" s="8" t="s">
        <v>362</v>
      </c>
      <c r="H92" s="8" t="s">
        <v>196</v>
      </c>
      <c r="I92" s="8"/>
      <c r="J92" s="7"/>
      <c r="K92" s="8" t="s">
        <v>91</v>
      </c>
      <c r="L92" s="8" t="s">
        <v>343</v>
      </c>
      <c r="M92" s="8"/>
      <c r="N92" s="8" t="s">
        <v>372</v>
      </c>
      <c r="O92" s="13">
        <v>400000</v>
      </c>
      <c r="P92" s="14">
        <v>0.3</v>
      </c>
      <c r="Q92" s="7">
        <v>12</v>
      </c>
      <c r="R92" s="8" t="s">
        <v>373</v>
      </c>
      <c r="S92" s="15"/>
    </row>
    <row r="93" spans="1:19" x14ac:dyDescent="0.25">
      <c r="A93" s="10">
        <f t="shared" si="2"/>
        <v>2022</v>
      </c>
      <c r="B93" s="11" t="str">
        <f t="shared" si="3"/>
        <v>December</v>
      </c>
      <c r="C93" s="12">
        <v>44903</v>
      </c>
      <c r="D93" s="8" t="s">
        <v>374</v>
      </c>
      <c r="E93" s="7" cm="1">
        <f t="array" ref="E93">_xlfn.XMATCH(F93&amp;G93&amp;H93, _xlfn.UNIQUE(F$2:F$369 &amp; G$2:G$369 &amp; H$2:H$369))</f>
        <v>66</v>
      </c>
      <c r="F93" s="8" t="s">
        <v>375</v>
      </c>
      <c r="G93" s="8" t="s">
        <v>376</v>
      </c>
      <c r="H93" s="8" t="s">
        <v>64</v>
      </c>
      <c r="I93" s="8" t="s">
        <v>377</v>
      </c>
      <c r="J93" s="7"/>
      <c r="K93" s="8" t="s">
        <v>22</v>
      </c>
      <c r="L93" s="8" t="s">
        <v>134</v>
      </c>
      <c r="M93" s="8"/>
      <c r="N93" s="25" t="s">
        <v>378</v>
      </c>
      <c r="O93" s="13">
        <v>400000</v>
      </c>
      <c r="P93" s="14">
        <v>0.4</v>
      </c>
      <c r="Q93" s="7">
        <v>24</v>
      </c>
      <c r="R93" s="8" t="s">
        <v>280</v>
      </c>
      <c r="S93" s="15"/>
    </row>
    <row r="94" spans="1:19" x14ac:dyDescent="0.25">
      <c r="A94" s="10">
        <f t="shared" si="2"/>
        <v>2022</v>
      </c>
      <c r="B94" s="11" t="str">
        <f t="shared" si="3"/>
        <v>December</v>
      </c>
      <c r="C94" s="12">
        <v>44903</v>
      </c>
      <c r="D94" s="8" t="s">
        <v>379</v>
      </c>
      <c r="E94" s="7" cm="1">
        <f t="array" ref="E94">_xlfn.XMATCH(F94&amp;G94&amp;H94, _xlfn.UNIQUE(F$2:F$369 &amp; G$2:G$369 &amp; H$2:H$369))</f>
        <v>67</v>
      </c>
      <c r="F94" s="8" t="s">
        <v>380</v>
      </c>
      <c r="G94" s="8" t="s">
        <v>376</v>
      </c>
      <c r="H94" s="8" t="s">
        <v>64</v>
      </c>
      <c r="I94" s="8"/>
      <c r="J94" s="7"/>
      <c r="K94" s="8" t="s">
        <v>22</v>
      </c>
      <c r="L94" s="8" t="s">
        <v>134</v>
      </c>
      <c r="M94" s="8"/>
      <c r="N94" s="8" t="s">
        <v>381</v>
      </c>
      <c r="O94" s="13">
        <v>385000</v>
      </c>
      <c r="P94" s="14"/>
      <c r="Q94" s="7" t="s">
        <v>70</v>
      </c>
      <c r="R94" s="8" t="s">
        <v>280</v>
      </c>
      <c r="S94" s="15"/>
    </row>
    <row r="95" spans="1:19" x14ac:dyDescent="0.25">
      <c r="A95" s="10">
        <f t="shared" si="2"/>
        <v>2022</v>
      </c>
      <c r="B95" s="11" t="str">
        <f t="shared" si="3"/>
        <v>December</v>
      </c>
      <c r="C95" s="12">
        <v>44905</v>
      </c>
      <c r="D95" s="8" t="s">
        <v>382</v>
      </c>
      <c r="E95" s="7" cm="1">
        <f t="array" ref="E95">_xlfn.XMATCH(F95&amp;G95&amp;H95, _xlfn.UNIQUE(F$2:F$369 &amp; G$2:G$369 &amp; H$2:H$369))</f>
        <v>68</v>
      </c>
      <c r="F95" s="8" t="s">
        <v>383</v>
      </c>
      <c r="G95" s="8" t="s">
        <v>384</v>
      </c>
      <c r="H95" s="8" t="s">
        <v>37</v>
      </c>
      <c r="I95" s="8"/>
      <c r="J95" s="7"/>
      <c r="K95" s="8" t="s">
        <v>22</v>
      </c>
      <c r="L95" s="8" t="s">
        <v>134</v>
      </c>
      <c r="M95" s="8"/>
      <c r="N95" s="8" t="s">
        <v>385</v>
      </c>
      <c r="O95" s="13">
        <v>450000</v>
      </c>
      <c r="P95" s="14">
        <v>0.3</v>
      </c>
      <c r="Q95" s="7">
        <v>18</v>
      </c>
      <c r="R95" s="8" t="s">
        <v>280</v>
      </c>
      <c r="S95" s="15"/>
    </row>
    <row r="96" spans="1:19" x14ac:dyDescent="0.25">
      <c r="A96" s="10">
        <f t="shared" si="2"/>
        <v>2022</v>
      </c>
      <c r="B96" s="11" t="str">
        <f t="shared" si="3"/>
        <v>December</v>
      </c>
      <c r="C96" s="12">
        <v>44907</v>
      </c>
      <c r="D96" s="8" t="s">
        <v>386</v>
      </c>
      <c r="E96" s="7" cm="1">
        <f t="array" ref="E96">_xlfn.XMATCH(F96&amp;G96&amp;H96, _xlfn.UNIQUE(F$2:F$369 &amp; G$2:G$369 &amp; H$2:H$369))</f>
        <v>69</v>
      </c>
      <c r="F96" s="8" t="s">
        <v>387</v>
      </c>
      <c r="G96" s="8" t="s">
        <v>226</v>
      </c>
      <c r="H96" s="8" t="s">
        <v>227</v>
      </c>
      <c r="I96" s="8" t="s">
        <v>388</v>
      </c>
      <c r="J96" s="7"/>
      <c r="K96" s="8" t="s">
        <v>22</v>
      </c>
      <c r="L96" s="8" t="s">
        <v>134</v>
      </c>
      <c r="M96" s="8" t="s">
        <v>84</v>
      </c>
      <c r="N96" s="8" t="s">
        <v>389</v>
      </c>
      <c r="O96" s="13">
        <v>450000</v>
      </c>
      <c r="P96" s="14">
        <v>0.4</v>
      </c>
      <c r="Q96" s="7">
        <v>12</v>
      </c>
      <c r="R96" s="8" t="s">
        <v>280</v>
      </c>
      <c r="S96" s="15"/>
    </row>
    <row r="97" spans="1:19" x14ac:dyDescent="0.25">
      <c r="A97" s="10">
        <f t="shared" si="2"/>
        <v>2022</v>
      </c>
      <c r="B97" s="11" t="str">
        <f t="shared" si="3"/>
        <v>December</v>
      </c>
      <c r="C97" s="12">
        <v>44909</v>
      </c>
      <c r="D97" s="8" t="s">
        <v>390</v>
      </c>
      <c r="E97" s="7" cm="1">
        <f t="array" ref="E97">_xlfn.XMATCH(F97&amp;G97&amp;H97, _xlfn.UNIQUE(F$2:F$369 &amp; G$2:G$369 &amp; H$2:H$369))</f>
        <v>14</v>
      </c>
      <c r="F97" s="8" t="s">
        <v>59</v>
      </c>
      <c r="G97" s="8" t="s">
        <v>67</v>
      </c>
      <c r="H97" s="8" t="s">
        <v>52</v>
      </c>
      <c r="I97" s="8" t="s">
        <v>391</v>
      </c>
      <c r="J97" s="7"/>
      <c r="K97" s="8" t="s">
        <v>68</v>
      </c>
      <c r="L97" s="8" t="s">
        <v>350</v>
      </c>
      <c r="M97" s="8" t="s">
        <v>84</v>
      </c>
      <c r="N97" s="8" t="s">
        <v>392</v>
      </c>
      <c r="O97" s="13">
        <v>1500000</v>
      </c>
      <c r="P97" s="23">
        <v>500000</v>
      </c>
      <c r="Q97" s="7">
        <v>36</v>
      </c>
      <c r="R97" s="8" t="s">
        <v>353</v>
      </c>
      <c r="S97" s="15"/>
    </row>
    <row r="98" spans="1:19" x14ac:dyDescent="0.25">
      <c r="A98" s="10">
        <f t="shared" si="2"/>
        <v>2022</v>
      </c>
      <c r="B98" s="11" t="str">
        <f t="shared" si="3"/>
        <v>December</v>
      </c>
      <c r="C98" s="12">
        <v>44910</v>
      </c>
      <c r="D98" s="8" t="s">
        <v>393</v>
      </c>
      <c r="E98" s="7" cm="1">
        <f t="array" ref="E98">_xlfn.XMATCH(F98&amp;G98&amp;H98, _xlfn.UNIQUE(F$2:F$369 &amp; G$2:G$369 &amp; H$2:H$369))</f>
        <v>43</v>
      </c>
      <c r="F98" s="8" t="s">
        <v>248</v>
      </c>
      <c r="G98" s="8" t="s">
        <v>249</v>
      </c>
      <c r="H98" s="8" t="s">
        <v>46</v>
      </c>
      <c r="I98" s="8" t="s">
        <v>394</v>
      </c>
      <c r="J98" s="7"/>
      <c r="K98" s="8" t="s">
        <v>91</v>
      </c>
      <c r="L98" s="8" t="s">
        <v>343</v>
      </c>
      <c r="M98" s="8" t="s">
        <v>84</v>
      </c>
      <c r="N98" s="8" t="s">
        <v>395</v>
      </c>
      <c r="O98" s="13">
        <v>400000</v>
      </c>
      <c r="P98" s="14">
        <v>0.4</v>
      </c>
      <c r="Q98" s="7">
        <v>12</v>
      </c>
      <c r="R98" s="8" t="s">
        <v>373</v>
      </c>
      <c r="S98" s="15"/>
    </row>
    <row r="99" spans="1:19" x14ac:dyDescent="0.25">
      <c r="A99" s="10">
        <f t="shared" si="2"/>
        <v>2022</v>
      </c>
      <c r="B99" s="11" t="str">
        <f t="shared" si="3"/>
        <v>December</v>
      </c>
      <c r="C99" s="12">
        <v>44914</v>
      </c>
      <c r="D99" s="8" t="s">
        <v>396</v>
      </c>
      <c r="E99" s="7" cm="1">
        <f t="array" ref="E99">_xlfn.XMATCH(F99&amp;G99&amp;H99, _xlfn.UNIQUE(F$2:F$369 &amp; G$2:G$369 &amp; H$2:H$369))</f>
        <v>70</v>
      </c>
      <c r="F99" s="8" t="s">
        <v>397</v>
      </c>
      <c r="G99" s="8" t="s">
        <v>366</v>
      </c>
      <c r="H99" s="8" t="s">
        <v>367</v>
      </c>
      <c r="I99" s="8" t="s">
        <v>398</v>
      </c>
      <c r="J99" s="7"/>
      <c r="K99" s="8" t="s">
        <v>22</v>
      </c>
      <c r="L99" s="8" t="s">
        <v>134</v>
      </c>
      <c r="M99" s="8" t="s">
        <v>84</v>
      </c>
      <c r="N99" s="8" t="s">
        <v>399</v>
      </c>
      <c r="O99" s="13">
        <v>450000</v>
      </c>
      <c r="P99" s="14">
        <v>0.4</v>
      </c>
      <c r="Q99" s="7">
        <v>12</v>
      </c>
      <c r="R99" s="8" t="s">
        <v>280</v>
      </c>
      <c r="S99" s="15"/>
    </row>
    <row r="100" spans="1:19" x14ac:dyDescent="0.25">
      <c r="A100" s="10">
        <f t="shared" si="2"/>
        <v>2022</v>
      </c>
      <c r="B100" s="11" t="str">
        <f t="shared" si="3"/>
        <v>December</v>
      </c>
      <c r="C100" s="12">
        <v>44915</v>
      </c>
      <c r="D100" s="8" t="s">
        <v>400</v>
      </c>
      <c r="E100" s="7" cm="1">
        <f t="array" ref="E100">_xlfn.XMATCH(F100&amp;G100&amp;H100, _xlfn.UNIQUE(F$2:F$369 &amp; G$2:G$369 &amp; H$2:H$369))</f>
        <v>65</v>
      </c>
      <c r="F100" s="8" t="s">
        <v>365</v>
      </c>
      <c r="G100" s="8" t="s">
        <v>366</v>
      </c>
      <c r="H100" s="8" t="s">
        <v>367</v>
      </c>
      <c r="I100" s="8" t="s">
        <v>368</v>
      </c>
      <c r="J100" s="7"/>
      <c r="K100" s="8" t="s">
        <v>78</v>
      </c>
      <c r="L100" s="8" t="s">
        <v>79</v>
      </c>
      <c r="M100" s="8" t="s">
        <v>84</v>
      </c>
      <c r="N100" s="7">
        <v>27074</v>
      </c>
      <c r="O100" s="13">
        <v>400000</v>
      </c>
      <c r="P100" s="14">
        <v>0.25</v>
      </c>
      <c r="Q100" s="7">
        <v>18</v>
      </c>
      <c r="R100" s="8" t="s">
        <v>110</v>
      </c>
      <c r="S100" s="15"/>
    </row>
    <row r="101" spans="1:19" x14ac:dyDescent="0.25">
      <c r="A101" s="10">
        <f t="shared" si="2"/>
        <v>2022</v>
      </c>
      <c r="B101" s="11" t="str">
        <f t="shared" si="3"/>
        <v>December</v>
      </c>
      <c r="C101" s="12">
        <v>44918</v>
      </c>
      <c r="D101" s="8" t="s">
        <v>401</v>
      </c>
      <c r="E101" s="7" cm="1">
        <f t="array" ref="E101">_xlfn.XMATCH(F101&amp;G101&amp;H101, _xlfn.UNIQUE(F$2:F$369 &amp; G$2:G$369 &amp; H$2:H$369))</f>
        <v>71</v>
      </c>
      <c r="F101" s="8" t="s">
        <v>402</v>
      </c>
      <c r="G101" s="8" t="s">
        <v>403</v>
      </c>
      <c r="H101" s="8" t="s">
        <v>27</v>
      </c>
      <c r="I101" s="8" t="s">
        <v>404</v>
      </c>
      <c r="J101" s="7"/>
      <c r="K101" s="8" t="s">
        <v>22</v>
      </c>
      <c r="L101" s="8" t="s">
        <v>134</v>
      </c>
      <c r="M101" s="8" t="s">
        <v>84</v>
      </c>
      <c r="N101" s="8" t="s">
        <v>405</v>
      </c>
      <c r="O101" s="13">
        <v>435000</v>
      </c>
      <c r="P101" s="23">
        <v>100000</v>
      </c>
      <c r="Q101" s="7">
        <v>24</v>
      </c>
      <c r="R101" s="8" t="s">
        <v>280</v>
      </c>
      <c r="S101" s="15"/>
    </row>
    <row r="102" spans="1:19" x14ac:dyDescent="0.25">
      <c r="A102" s="10">
        <f t="shared" si="2"/>
        <v>2023</v>
      </c>
      <c r="B102" s="11" t="str">
        <f t="shared" si="3"/>
        <v>January</v>
      </c>
      <c r="C102" s="12">
        <v>44931</v>
      </c>
      <c r="D102" s="8" t="s">
        <v>406</v>
      </c>
      <c r="E102" s="7" cm="1">
        <f t="array" ref="E102">_xlfn.XMATCH(F102&amp;G102&amp;H102, _xlfn.UNIQUE(F$2:F$369 &amp; G$2:G$369 &amp; H$2:H$369))</f>
        <v>72</v>
      </c>
      <c r="F102" s="8" t="s">
        <v>141</v>
      </c>
      <c r="G102" s="8" t="s">
        <v>407</v>
      </c>
      <c r="H102" s="8" t="s">
        <v>52</v>
      </c>
      <c r="I102" s="8" t="s">
        <v>408</v>
      </c>
      <c r="J102" s="7"/>
      <c r="K102" s="8" t="s">
        <v>68</v>
      </c>
      <c r="L102" s="8" t="s">
        <v>350</v>
      </c>
      <c r="M102" s="8" t="s">
        <v>84</v>
      </c>
      <c r="N102" s="8" t="s">
        <v>409</v>
      </c>
      <c r="O102" s="13">
        <v>1200000</v>
      </c>
      <c r="P102" s="14"/>
      <c r="Q102" s="7" t="s">
        <v>70</v>
      </c>
      <c r="R102" s="8" t="s">
        <v>410</v>
      </c>
      <c r="S102" s="15"/>
    </row>
    <row r="103" spans="1:19" x14ac:dyDescent="0.25">
      <c r="A103" s="10">
        <f t="shared" si="2"/>
        <v>2023</v>
      </c>
      <c r="B103" s="11" t="str">
        <f t="shared" si="3"/>
        <v>January</v>
      </c>
      <c r="C103" s="12">
        <v>44942</v>
      </c>
      <c r="D103" s="8" t="s">
        <v>411</v>
      </c>
      <c r="E103" s="7" cm="1">
        <f t="array" ref="E103">_xlfn.XMATCH(F103&amp;G103&amp;H103, _xlfn.UNIQUE(F$2:F$369 &amp; G$2:G$369 &amp; H$2:H$369))</f>
        <v>73</v>
      </c>
      <c r="F103" s="8" t="s">
        <v>412</v>
      </c>
      <c r="G103" s="8" t="s">
        <v>88</v>
      </c>
      <c r="H103" s="8" t="s">
        <v>21</v>
      </c>
      <c r="I103" s="8" t="s">
        <v>413</v>
      </c>
      <c r="J103" s="7"/>
      <c r="K103" s="8" t="s">
        <v>78</v>
      </c>
      <c r="L103" s="8" t="s">
        <v>79</v>
      </c>
      <c r="M103" s="8" t="s">
        <v>84</v>
      </c>
      <c r="N103" s="7">
        <v>27418</v>
      </c>
      <c r="O103" s="13">
        <v>450000</v>
      </c>
      <c r="P103" s="23">
        <v>180000</v>
      </c>
      <c r="Q103" s="7">
        <v>15</v>
      </c>
      <c r="R103" s="8" t="s">
        <v>414</v>
      </c>
      <c r="S103" s="15"/>
    </row>
    <row r="104" spans="1:19" x14ac:dyDescent="0.25">
      <c r="A104" s="10">
        <f t="shared" si="2"/>
        <v>2023</v>
      </c>
      <c r="B104" s="11" t="str">
        <f t="shared" si="3"/>
        <v>January</v>
      </c>
      <c r="C104" s="12">
        <v>44942</v>
      </c>
      <c r="D104" s="8" t="s">
        <v>415</v>
      </c>
      <c r="E104" s="7" cm="1">
        <f t="array" ref="E104">_xlfn.XMATCH(F104&amp;G104&amp;H104, _xlfn.UNIQUE(F$2:F$369 &amp; G$2:G$369 &amp; H$2:H$369))</f>
        <v>74</v>
      </c>
      <c r="F104" s="8" t="s">
        <v>33</v>
      </c>
      <c r="G104" s="8" t="s">
        <v>416</v>
      </c>
      <c r="H104" s="8" t="s">
        <v>21</v>
      </c>
      <c r="I104" s="8" t="s">
        <v>417</v>
      </c>
      <c r="J104" s="7"/>
      <c r="K104" s="8" t="s">
        <v>22</v>
      </c>
      <c r="L104" s="8" t="s">
        <v>134</v>
      </c>
      <c r="M104" s="8" t="s">
        <v>84</v>
      </c>
      <c r="N104" s="8" t="s">
        <v>418</v>
      </c>
      <c r="O104" s="13">
        <v>400000</v>
      </c>
      <c r="P104" s="23">
        <v>100000</v>
      </c>
      <c r="Q104" s="7">
        <v>20</v>
      </c>
      <c r="R104" s="8" t="s">
        <v>280</v>
      </c>
      <c r="S104" s="15"/>
    </row>
    <row r="105" spans="1:19" x14ac:dyDescent="0.25">
      <c r="A105" s="10">
        <f t="shared" si="2"/>
        <v>2023</v>
      </c>
      <c r="B105" s="11" t="str">
        <f t="shared" si="3"/>
        <v>January</v>
      </c>
      <c r="C105" s="12">
        <v>44944</v>
      </c>
      <c r="D105" s="8" t="s">
        <v>419</v>
      </c>
      <c r="E105" s="7" cm="1">
        <f t="array" ref="E105">_xlfn.XMATCH(F105&amp;G105&amp;H105, _xlfn.UNIQUE(F$2:F$369 &amp; G$2:G$369 &amp; H$2:H$369))</f>
        <v>24</v>
      </c>
      <c r="F105" s="8" t="s">
        <v>54</v>
      </c>
      <c r="G105" s="8" t="s">
        <v>146</v>
      </c>
      <c r="H105" s="8" t="s">
        <v>56</v>
      </c>
      <c r="I105" s="8" t="s">
        <v>420</v>
      </c>
      <c r="J105" s="7"/>
      <c r="K105" s="8" t="s">
        <v>22</v>
      </c>
      <c r="L105" s="8" t="s">
        <v>134</v>
      </c>
      <c r="M105" s="8" t="s">
        <v>84</v>
      </c>
      <c r="N105" s="8" t="s">
        <v>378</v>
      </c>
      <c r="O105" s="13">
        <v>400000</v>
      </c>
      <c r="P105" s="14"/>
      <c r="Q105" s="7" t="s">
        <v>70</v>
      </c>
      <c r="R105" s="8" t="s">
        <v>280</v>
      </c>
      <c r="S105" s="15"/>
    </row>
    <row r="106" spans="1:19" x14ac:dyDescent="0.25">
      <c r="A106" s="10">
        <f t="shared" si="2"/>
        <v>2023</v>
      </c>
      <c r="B106" s="11" t="str">
        <f t="shared" si="3"/>
        <v>January</v>
      </c>
      <c r="C106" s="12">
        <v>44944</v>
      </c>
      <c r="D106" s="8" t="s">
        <v>421</v>
      </c>
      <c r="E106" s="7" cm="1">
        <f t="array" ref="E106">_xlfn.XMATCH(F106&amp;G106&amp;H106, _xlfn.UNIQUE(F$2:F$369 &amp; G$2:G$369 &amp; H$2:H$369))</f>
        <v>54</v>
      </c>
      <c r="F106" s="8" t="s">
        <v>300</v>
      </c>
      <c r="G106" s="8" t="s">
        <v>301</v>
      </c>
      <c r="H106" s="8" t="s">
        <v>46</v>
      </c>
      <c r="I106" s="8" t="s">
        <v>422</v>
      </c>
      <c r="J106" s="7"/>
      <c r="K106" s="8" t="s">
        <v>78</v>
      </c>
      <c r="L106" s="8" t="s">
        <v>79</v>
      </c>
      <c r="M106" s="8" t="s">
        <v>84</v>
      </c>
      <c r="N106" s="7">
        <v>27421</v>
      </c>
      <c r="O106" s="13">
        <v>400000</v>
      </c>
      <c r="P106" s="23">
        <v>160000</v>
      </c>
      <c r="Q106" s="7">
        <v>12</v>
      </c>
      <c r="R106" s="8" t="s">
        <v>423</v>
      </c>
      <c r="S106" s="15"/>
    </row>
    <row r="107" spans="1:19" x14ac:dyDescent="0.25">
      <c r="A107" s="10">
        <f t="shared" si="2"/>
        <v>2023</v>
      </c>
      <c r="B107" s="11" t="str">
        <f t="shared" si="3"/>
        <v>January</v>
      </c>
      <c r="C107" s="12">
        <v>44945</v>
      </c>
      <c r="D107" s="8" t="s">
        <v>424</v>
      </c>
      <c r="E107" s="7" cm="1">
        <f t="array" ref="E107">_xlfn.XMATCH(F107&amp;G107&amp;H107, _xlfn.UNIQUE(F$2:F$369 &amp; G$2:G$369 &amp; H$2:H$369))</f>
        <v>75</v>
      </c>
      <c r="F107" s="8" t="s">
        <v>425</v>
      </c>
      <c r="G107" s="8" t="s">
        <v>63</v>
      </c>
      <c r="H107" s="8" t="s">
        <v>64</v>
      </c>
      <c r="I107" s="8" t="s">
        <v>426</v>
      </c>
      <c r="J107" s="7"/>
      <c r="K107" s="8" t="s">
        <v>22</v>
      </c>
      <c r="L107" s="8" t="s">
        <v>134</v>
      </c>
      <c r="M107" s="8" t="s">
        <v>84</v>
      </c>
      <c r="N107" s="8" t="s">
        <v>427</v>
      </c>
      <c r="O107" s="13">
        <v>380000</v>
      </c>
      <c r="P107" s="14"/>
      <c r="Q107" s="7" t="s">
        <v>70</v>
      </c>
      <c r="R107" s="8" t="s">
        <v>280</v>
      </c>
      <c r="S107" s="15"/>
    </row>
    <row r="108" spans="1:19" x14ac:dyDescent="0.25">
      <c r="A108" s="10">
        <f t="shared" si="2"/>
        <v>2023</v>
      </c>
      <c r="B108" s="11" t="str">
        <f t="shared" si="3"/>
        <v>January</v>
      </c>
      <c r="C108" s="12">
        <v>44945</v>
      </c>
      <c r="D108" s="8" t="s">
        <v>428</v>
      </c>
      <c r="E108" s="7" cm="1">
        <f t="array" ref="E108">_xlfn.XMATCH(F108&amp;G108&amp;H108, _xlfn.UNIQUE(F$2:F$369 &amp; G$2:G$369 &amp; H$2:H$369))</f>
        <v>76</v>
      </c>
      <c r="F108" s="8" t="s">
        <v>429</v>
      </c>
      <c r="G108" s="8" t="s">
        <v>430</v>
      </c>
      <c r="H108" s="8" t="s">
        <v>227</v>
      </c>
      <c r="I108" s="8" t="s">
        <v>431</v>
      </c>
      <c r="J108" s="7"/>
      <c r="K108" s="8" t="s">
        <v>22</v>
      </c>
      <c r="L108" s="8" t="s">
        <v>134</v>
      </c>
      <c r="M108" s="8" t="s">
        <v>84</v>
      </c>
      <c r="N108" s="8" t="s">
        <v>432</v>
      </c>
      <c r="O108" s="13">
        <v>400000</v>
      </c>
      <c r="P108" s="23">
        <v>160000</v>
      </c>
      <c r="Q108" s="7">
        <v>12</v>
      </c>
      <c r="R108" s="8" t="s">
        <v>280</v>
      </c>
      <c r="S108" s="15"/>
    </row>
    <row r="109" spans="1:19" x14ac:dyDescent="0.25">
      <c r="A109" s="10">
        <f t="shared" si="2"/>
        <v>2023</v>
      </c>
      <c r="B109" s="11" t="str">
        <f t="shared" si="3"/>
        <v>January</v>
      </c>
      <c r="C109" s="12">
        <v>44951</v>
      </c>
      <c r="D109" s="8" t="s">
        <v>433</v>
      </c>
      <c r="E109" s="7" cm="1">
        <f t="array" ref="E109">_xlfn.XMATCH(F109&amp;G109&amp;H109, _xlfn.UNIQUE(F$2:F$369 &amp; G$2:G$369 &amp; H$2:H$369))</f>
        <v>77</v>
      </c>
      <c r="F109" s="8" t="s">
        <v>220</v>
      </c>
      <c r="G109" s="8" t="s">
        <v>142</v>
      </c>
      <c r="H109" s="8" t="s">
        <v>52</v>
      </c>
      <c r="I109" s="8" t="s">
        <v>434</v>
      </c>
      <c r="J109" s="7"/>
      <c r="K109" s="8" t="s">
        <v>22</v>
      </c>
      <c r="L109" s="8" t="s">
        <v>134</v>
      </c>
      <c r="M109" s="8" t="s">
        <v>84</v>
      </c>
      <c r="N109" s="8" t="s">
        <v>435</v>
      </c>
      <c r="O109" s="13">
        <v>400000</v>
      </c>
      <c r="P109" s="14">
        <v>0.5</v>
      </c>
      <c r="Q109" s="7">
        <v>12</v>
      </c>
      <c r="R109" s="8" t="s">
        <v>280</v>
      </c>
      <c r="S109" s="15"/>
    </row>
    <row r="110" spans="1:19" x14ac:dyDescent="0.25">
      <c r="A110" s="10">
        <f t="shared" si="2"/>
        <v>2023</v>
      </c>
      <c r="B110" s="11" t="str">
        <f t="shared" si="3"/>
        <v>February</v>
      </c>
      <c r="C110" s="12">
        <v>44963</v>
      </c>
      <c r="D110" s="8" t="s">
        <v>436</v>
      </c>
      <c r="E110" s="7" cm="1">
        <f t="array" ref="E110">_xlfn.XMATCH(F110&amp;G110&amp;H110, _xlfn.UNIQUE(F$2:F$369 &amp; G$2:G$369 &amp; H$2:H$369))</f>
        <v>8</v>
      </c>
      <c r="F110" s="8" t="s">
        <v>44</v>
      </c>
      <c r="G110" s="8" t="s">
        <v>45</v>
      </c>
      <c r="H110" s="8" t="s">
        <v>46</v>
      </c>
      <c r="I110" s="8" t="s">
        <v>437</v>
      </c>
      <c r="J110" s="7"/>
      <c r="K110" s="8" t="s">
        <v>68</v>
      </c>
      <c r="L110" s="8" t="s">
        <v>350</v>
      </c>
      <c r="M110" s="8" t="s">
        <v>84</v>
      </c>
      <c r="N110" s="8" t="s">
        <v>438</v>
      </c>
      <c r="O110" s="13">
        <v>1600000</v>
      </c>
      <c r="P110" s="23">
        <v>500000</v>
      </c>
      <c r="Q110" s="7">
        <v>55</v>
      </c>
      <c r="R110" s="8" t="s">
        <v>410</v>
      </c>
      <c r="S110" s="15"/>
    </row>
    <row r="111" spans="1:19" x14ac:dyDescent="0.25">
      <c r="A111" s="10">
        <f t="shared" si="2"/>
        <v>2023</v>
      </c>
      <c r="B111" s="11" t="str">
        <f t="shared" si="3"/>
        <v>February</v>
      </c>
      <c r="C111" s="12">
        <v>44964</v>
      </c>
      <c r="D111" s="8" t="s">
        <v>439</v>
      </c>
      <c r="E111" s="7" cm="1">
        <f t="array" ref="E111">_xlfn.XMATCH(F111&amp;G111&amp;H111, _xlfn.UNIQUE(F$2:F$369 &amp; G$2:G$369 &amp; H$2:H$369))</f>
        <v>52</v>
      </c>
      <c r="F111" s="8" t="s">
        <v>292</v>
      </c>
      <c r="G111" s="8" t="s">
        <v>214</v>
      </c>
      <c r="H111" s="8" t="s">
        <v>116</v>
      </c>
      <c r="I111" s="8" t="s">
        <v>440</v>
      </c>
      <c r="J111" s="7"/>
      <c r="K111" s="8" t="s">
        <v>68</v>
      </c>
      <c r="L111" s="8" t="s">
        <v>350</v>
      </c>
      <c r="M111" s="8" t="s">
        <v>84</v>
      </c>
      <c r="N111" s="8" t="s">
        <v>441</v>
      </c>
      <c r="O111" s="13">
        <v>1600000</v>
      </c>
      <c r="P111" s="23">
        <v>640000</v>
      </c>
      <c r="Q111" s="7">
        <v>36</v>
      </c>
      <c r="R111" s="8" t="s">
        <v>410</v>
      </c>
      <c r="S111" s="15"/>
    </row>
    <row r="112" spans="1:19" x14ac:dyDescent="0.25">
      <c r="A112" s="10">
        <f t="shared" si="2"/>
        <v>2023</v>
      </c>
      <c r="B112" s="11" t="str">
        <f t="shared" si="3"/>
        <v>March</v>
      </c>
      <c r="C112" s="12">
        <v>44988</v>
      </c>
      <c r="D112" s="8" t="s">
        <v>442</v>
      </c>
      <c r="E112" s="7" cm="1">
        <f t="array" ref="E112">_xlfn.XMATCH(F112&amp;G112&amp;H112, _xlfn.UNIQUE(F$2:F$369 &amp; G$2:G$369 &amp; H$2:H$369))</f>
        <v>62</v>
      </c>
      <c r="F112" s="8" t="s">
        <v>347</v>
      </c>
      <c r="G112" s="8" t="s">
        <v>348</v>
      </c>
      <c r="H112" s="8" t="s">
        <v>46</v>
      </c>
      <c r="I112" s="8" t="s">
        <v>349</v>
      </c>
      <c r="J112" s="7"/>
      <c r="K112" s="8" t="s">
        <v>78</v>
      </c>
      <c r="L112" s="8" t="s">
        <v>79</v>
      </c>
      <c r="M112" s="8" t="s">
        <v>84</v>
      </c>
      <c r="N112" s="8">
        <v>27449</v>
      </c>
      <c r="O112" s="13">
        <v>400000</v>
      </c>
      <c r="P112" s="23">
        <v>160000</v>
      </c>
      <c r="Q112" s="7">
        <v>24</v>
      </c>
      <c r="R112" s="8" t="s">
        <v>166</v>
      </c>
      <c r="S112" s="15"/>
    </row>
    <row r="113" spans="1:19" x14ac:dyDescent="0.25">
      <c r="A113" s="10">
        <f t="shared" si="2"/>
        <v>2023</v>
      </c>
      <c r="B113" s="11" t="str">
        <f t="shared" si="3"/>
        <v>March</v>
      </c>
      <c r="C113" s="12">
        <v>44988</v>
      </c>
      <c r="D113" s="8" t="s">
        <v>443</v>
      </c>
      <c r="E113" s="7" cm="1">
        <f t="array" ref="E113">_xlfn.XMATCH(F113&amp;G113&amp;H113, _xlfn.UNIQUE(F$2:F$369 &amp; G$2:G$369 &amp; H$2:H$369))</f>
        <v>78</v>
      </c>
      <c r="F113" s="8" t="s">
        <v>444</v>
      </c>
      <c r="G113" s="8" t="s">
        <v>445</v>
      </c>
      <c r="H113" s="8" t="s">
        <v>46</v>
      </c>
      <c r="I113" s="8" t="s">
        <v>446</v>
      </c>
      <c r="J113" s="7"/>
      <c r="K113" s="8" t="s">
        <v>22</v>
      </c>
      <c r="L113" s="8" t="s">
        <v>134</v>
      </c>
      <c r="M113" s="8" t="s">
        <v>84</v>
      </c>
      <c r="N113" s="8" t="s">
        <v>447</v>
      </c>
      <c r="O113" s="13">
        <v>400000</v>
      </c>
      <c r="P113" s="23">
        <v>160000</v>
      </c>
      <c r="Q113" s="7">
        <v>24</v>
      </c>
      <c r="R113" s="8" t="s">
        <v>280</v>
      </c>
      <c r="S113" s="15"/>
    </row>
    <row r="114" spans="1:19" x14ac:dyDescent="0.25">
      <c r="A114" s="10">
        <f t="shared" si="2"/>
        <v>2023</v>
      </c>
      <c r="B114" s="11" t="str">
        <f t="shared" si="3"/>
        <v>March</v>
      </c>
      <c r="C114" s="12">
        <v>44989</v>
      </c>
      <c r="D114" s="8" t="s">
        <v>448</v>
      </c>
      <c r="E114" s="7" cm="1">
        <f t="array" ref="E114">_xlfn.XMATCH(F114&amp;G114&amp;H114, _xlfn.UNIQUE(F$2:F$369 &amp; G$2:G$369 &amp; H$2:H$369))</f>
        <v>79</v>
      </c>
      <c r="F114" s="8" t="s">
        <v>449</v>
      </c>
      <c r="G114" s="8" t="s">
        <v>450</v>
      </c>
      <c r="H114" s="8" t="s">
        <v>451</v>
      </c>
      <c r="I114" s="8" t="s">
        <v>452</v>
      </c>
      <c r="J114" s="7"/>
      <c r="K114" s="8" t="s">
        <v>22</v>
      </c>
      <c r="L114" s="8" t="s">
        <v>134</v>
      </c>
      <c r="M114" s="8" t="s">
        <v>84</v>
      </c>
      <c r="N114" s="8" t="s">
        <v>453</v>
      </c>
      <c r="O114" s="13">
        <v>450000</v>
      </c>
      <c r="P114" s="23">
        <v>135000</v>
      </c>
      <c r="Q114" s="7">
        <v>24</v>
      </c>
      <c r="R114" s="8" t="s">
        <v>280</v>
      </c>
      <c r="S114" s="15"/>
    </row>
    <row r="115" spans="1:19" x14ac:dyDescent="0.25">
      <c r="A115" s="10">
        <f t="shared" si="2"/>
        <v>2023</v>
      </c>
      <c r="B115" s="11" t="str">
        <f t="shared" si="3"/>
        <v>March</v>
      </c>
      <c r="C115" s="12">
        <v>44989</v>
      </c>
      <c r="D115" s="8" t="s">
        <v>454</v>
      </c>
      <c r="E115" s="7" cm="1">
        <f t="array" ref="E115">_xlfn.XMATCH(F115&amp;G115&amp;H115, _xlfn.UNIQUE(F$2:F$369 &amp; G$2:G$369 &amp; H$2:H$369))</f>
        <v>80</v>
      </c>
      <c r="F115" s="8" t="s">
        <v>455</v>
      </c>
      <c r="G115" s="8" t="s">
        <v>214</v>
      </c>
      <c r="H115" s="8" t="s">
        <v>116</v>
      </c>
      <c r="I115" s="8" t="s">
        <v>456</v>
      </c>
      <c r="J115" s="7"/>
      <c r="K115" s="8" t="s">
        <v>22</v>
      </c>
      <c r="L115" s="8" t="s">
        <v>134</v>
      </c>
      <c r="M115" s="8" t="s">
        <v>239</v>
      </c>
      <c r="N115" s="8" t="s">
        <v>457</v>
      </c>
      <c r="O115" s="13">
        <v>450000</v>
      </c>
      <c r="P115" s="23">
        <v>100000</v>
      </c>
      <c r="Q115" s="7">
        <v>12</v>
      </c>
      <c r="R115" s="8" t="s">
        <v>280</v>
      </c>
      <c r="S115" s="15"/>
    </row>
    <row r="116" spans="1:19" x14ac:dyDescent="0.25">
      <c r="A116" s="10">
        <f t="shared" si="2"/>
        <v>2023</v>
      </c>
      <c r="B116" s="11" t="str">
        <f t="shared" si="3"/>
        <v>March</v>
      </c>
      <c r="C116" s="12">
        <v>44991</v>
      </c>
      <c r="D116" s="8" t="s">
        <v>458</v>
      </c>
      <c r="E116" s="7" cm="1">
        <f t="array" ref="E116">_xlfn.XMATCH(F116&amp;G116&amp;H116, _xlfn.UNIQUE(F$2:F$369 &amp; G$2:G$369 &amp; H$2:H$369))</f>
        <v>81</v>
      </c>
      <c r="F116" s="8" t="s">
        <v>459</v>
      </c>
      <c r="G116" s="8" t="s">
        <v>460</v>
      </c>
      <c r="H116" s="8" t="s">
        <v>461</v>
      </c>
      <c r="I116" s="8" t="s">
        <v>462</v>
      </c>
      <c r="J116" s="7"/>
      <c r="K116" s="8" t="s">
        <v>22</v>
      </c>
      <c r="L116" s="8" t="s">
        <v>134</v>
      </c>
      <c r="M116" s="8" t="s">
        <v>84</v>
      </c>
      <c r="N116" s="8" t="s">
        <v>463</v>
      </c>
      <c r="O116" s="13">
        <v>420000</v>
      </c>
      <c r="P116" s="23">
        <v>200000</v>
      </c>
      <c r="Q116" s="7">
        <v>12</v>
      </c>
      <c r="R116" s="8" t="s">
        <v>280</v>
      </c>
      <c r="S116" s="15"/>
    </row>
    <row r="117" spans="1:19" x14ac:dyDescent="0.25">
      <c r="A117" s="10">
        <f t="shared" si="2"/>
        <v>2023</v>
      </c>
      <c r="B117" s="11" t="str">
        <f t="shared" si="3"/>
        <v>March</v>
      </c>
      <c r="C117" s="12">
        <v>44992</v>
      </c>
      <c r="D117" s="8" t="s">
        <v>464</v>
      </c>
      <c r="E117" s="7" cm="1">
        <f t="array" ref="E117">_xlfn.XMATCH(F117&amp;G117&amp;H117, _xlfn.UNIQUE(F$2:F$369 &amp; G$2:G$369 &amp; H$2:H$369))</f>
        <v>82</v>
      </c>
      <c r="F117" s="8" t="s">
        <v>465</v>
      </c>
      <c r="G117" s="8" t="s">
        <v>466</v>
      </c>
      <c r="H117" s="8" t="s">
        <v>467</v>
      </c>
      <c r="I117" s="8" t="s">
        <v>468</v>
      </c>
      <c r="J117" s="7"/>
      <c r="K117" s="8" t="s">
        <v>22</v>
      </c>
      <c r="L117" s="8" t="s">
        <v>134</v>
      </c>
      <c r="M117" s="8" t="s">
        <v>239</v>
      </c>
      <c r="N117" s="8" t="s">
        <v>469</v>
      </c>
      <c r="O117" s="13">
        <v>450000</v>
      </c>
      <c r="P117" s="23">
        <v>180000</v>
      </c>
      <c r="Q117" s="7">
        <v>12</v>
      </c>
      <c r="R117" s="8" t="s">
        <v>280</v>
      </c>
      <c r="S117" s="15"/>
    </row>
    <row r="118" spans="1:19" x14ac:dyDescent="0.25">
      <c r="A118" s="10">
        <f t="shared" si="2"/>
        <v>2023</v>
      </c>
      <c r="B118" s="11" t="str">
        <f t="shared" si="3"/>
        <v>March</v>
      </c>
      <c r="C118" s="12">
        <v>45001</v>
      </c>
      <c r="D118" s="8" t="s">
        <v>470</v>
      </c>
      <c r="E118" s="7" cm="1">
        <f t="array" ref="E118">_xlfn.XMATCH(F118&amp;G118&amp;H118, _xlfn.UNIQUE(F$2:F$369 &amp; G$2:G$369 &amp; H$2:H$369))</f>
        <v>83</v>
      </c>
      <c r="F118" s="8" t="s">
        <v>471</v>
      </c>
      <c r="G118" s="8" t="s">
        <v>45</v>
      </c>
      <c r="H118" s="8" t="s">
        <v>46</v>
      </c>
      <c r="I118" s="8" t="s">
        <v>472</v>
      </c>
      <c r="J118" s="7"/>
      <c r="K118" s="8" t="s">
        <v>22</v>
      </c>
      <c r="L118" s="8" t="s">
        <v>134</v>
      </c>
      <c r="M118" s="8" t="s">
        <v>239</v>
      </c>
      <c r="N118" s="8" t="s">
        <v>473</v>
      </c>
      <c r="O118" s="13">
        <v>430000</v>
      </c>
      <c r="P118" s="23">
        <v>200000</v>
      </c>
      <c r="Q118" s="7">
        <v>24</v>
      </c>
      <c r="R118" s="8" t="s">
        <v>280</v>
      </c>
      <c r="S118" s="15"/>
    </row>
    <row r="119" spans="1:19" ht="16.5" x14ac:dyDescent="0.25">
      <c r="A119" s="10">
        <f t="shared" si="2"/>
        <v>2023</v>
      </c>
      <c r="B119" s="11" t="str">
        <f t="shared" si="3"/>
        <v>March</v>
      </c>
      <c r="C119" s="12">
        <v>45009</v>
      </c>
      <c r="D119" s="8" t="s">
        <v>474</v>
      </c>
      <c r="E119" s="7" cm="1">
        <f t="array" ref="E119">_xlfn.XMATCH(F119&amp;G119&amp;H119, _xlfn.UNIQUE(F$2:F$369 &amp; G$2:G$369 &amp; H$2:H$369))</f>
        <v>84</v>
      </c>
      <c r="F119" s="8" t="s">
        <v>475</v>
      </c>
      <c r="G119" s="8" t="s">
        <v>305</v>
      </c>
      <c r="H119" s="8" t="s">
        <v>227</v>
      </c>
      <c r="I119" s="8" t="s">
        <v>476</v>
      </c>
      <c r="J119" s="21">
        <v>9072046560</v>
      </c>
      <c r="K119" s="8" t="s">
        <v>68</v>
      </c>
      <c r="L119" s="8" t="s">
        <v>350</v>
      </c>
      <c r="M119" s="8" t="s">
        <v>84</v>
      </c>
      <c r="N119" s="8" t="s">
        <v>477</v>
      </c>
      <c r="O119" s="13">
        <v>1600000</v>
      </c>
      <c r="P119" s="23">
        <v>640000</v>
      </c>
      <c r="Q119" s="7">
        <v>36</v>
      </c>
      <c r="R119" s="8" t="s">
        <v>410</v>
      </c>
      <c r="S119" s="15"/>
    </row>
    <row r="120" spans="1:19" x14ac:dyDescent="0.25">
      <c r="A120" s="10">
        <f t="shared" si="2"/>
        <v>2023</v>
      </c>
      <c r="B120" s="11" t="str">
        <f t="shared" si="3"/>
        <v>March</v>
      </c>
      <c r="C120" s="12">
        <v>45010</v>
      </c>
      <c r="D120" s="8" t="s">
        <v>478</v>
      </c>
      <c r="E120" s="7" cm="1">
        <f t="array" ref="E120">_xlfn.XMATCH(F120&amp;G120&amp;H120, _xlfn.UNIQUE(F$2:F$369 &amp; G$2:G$369 &amp; H$2:H$369))</f>
        <v>85</v>
      </c>
      <c r="F120" s="8" t="s">
        <v>479</v>
      </c>
      <c r="G120" s="8" t="s">
        <v>480</v>
      </c>
      <c r="H120" s="8" t="s">
        <v>481</v>
      </c>
      <c r="I120" s="8" t="s">
        <v>482</v>
      </c>
      <c r="J120" s="7"/>
      <c r="K120" s="8" t="s">
        <v>68</v>
      </c>
      <c r="L120" s="8" t="s">
        <v>350</v>
      </c>
      <c r="M120" s="8" t="s">
        <v>84</v>
      </c>
      <c r="N120" s="8" t="s">
        <v>483</v>
      </c>
      <c r="O120" s="13">
        <v>1600000</v>
      </c>
      <c r="P120" s="23">
        <v>520000</v>
      </c>
      <c r="Q120" s="7">
        <v>36</v>
      </c>
      <c r="R120" s="8" t="s">
        <v>410</v>
      </c>
      <c r="S120" s="15"/>
    </row>
    <row r="121" spans="1:19" x14ac:dyDescent="0.25">
      <c r="A121" s="10">
        <f t="shared" si="2"/>
        <v>2023</v>
      </c>
      <c r="B121" s="11" t="str">
        <f t="shared" si="3"/>
        <v>March</v>
      </c>
      <c r="C121" s="12">
        <v>45016</v>
      </c>
      <c r="D121" s="8" t="s">
        <v>484</v>
      </c>
      <c r="E121" s="7" cm="1">
        <f t="array" ref="E121">_xlfn.XMATCH(F121&amp;G121&amp;H121, _xlfn.UNIQUE(F$2:F$369 &amp; G$2:G$369 &amp; H$2:H$369))</f>
        <v>86</v>
      </c>
      <c r="F121" s="8" t="s">
        <v>485</v>
      </c>
      <c r="G121" s="8" t="s">
        <v>460</v>
      </c>
      <c r="H121" s="8" t="s">
        <v>461</v>
      </c>
      <c r="I121" s="8" t="s">
        <v>486</v>
      </c>
      <c r="J121" s="7"/>
      <c r="K121" s="8" t="s">
        <v>78</v>
      </c>
      <c r="L121" s="8" t="s">
        <v>79</v>
      </c>
      <c r="M121" s="8" t="s">
        <v>84</v>
      </c>
      <c r="N121" s="8">
        <v>27464</v>
      </c>
      <c r="O121" s="13">
        <v>420000</v>
      </c>
      <c r="P121" s="23">
        <v>168000</v>
      </c>
      <c r="Q121" s="7">
        <v>36</v>
      </c>
      <c r="R121" s="8" t="s">
        <v>166</v>
      </c>
      <c r="S121" s="15"/>
    </row>
    <row r="122" spans="1:19" x14ac:dyDescent="0.25">
      <c r="A122" s="10">
        <f t="shared" si="2"/>
        <v>2023</v>
      </c>
      <c r="B122" s="11" t="str">
        <f t="shared" si="3"/>
        <v>April</v>
      </c>
      <c r="C122" s="12">
        <v>45040</v>
      </c>
      <c r="D122" s="8" t="s">
        <v>487</v>
      </c>
      <c r="E122" s="7" cm="1">
        <f t="array" ref="E122">_xlfn.XMATCH(F122&amp;G122&amp;H122, _xlfn.UNIQUE(F$2:F$369 &amp; G$2:G$369 &amp; H$2:H$369))</f>
        <v>14</v>
      </c>
      <c r="F122" s="8" t="s">
        <v>59</v>
      </c>
      <c r="G122" s="8" t="s">
        <v>67</v>
      </c>
      <c r="H122" s="8" t="s">
        <v>52</v>
      </c>
      <c r="I122" s="8" t="s">
        <v>391</v>
      </c>
      <c r="J122" s="7"/>
      <c r="K122" s="8" t="s">
        <v>22</v>
      </c>
      <c r="L122" s="8" t="s">
        <v>134</v>
      </c>
      <c r="M122" s="8" t="s">
        <v>84</v>
      </c>
      <c r="N122" s="8" t="s">
        <v>488</v>
      </c>
      <c r="O122" s="13">
        <v>450000</v>
      </c>
      <c r="P122" s="23">
        <v>100000</v>
      </c>
      <c r="Q122" s="7">
        <v>12</v>
      </c>
      <c r="R122" s="8" t="s">
        <v>280</v>
      </c>
      <c r="S122" s="15"/>
    </row>
    <row r="123" spans="1:19" x14ac:dyDescent="0.25">
      <c r="A123" s="10">
        <f t="shared" si="2"/>
        <v>2023</v>
      </c>
      <c r="B123" s="11" t="str">
        <f t="shared" si="3"/>
        <v>April</v>
      </c>
      <c r="C123" s="12">
        <v>45040</v>
      </c>
      <c r="D123" s="8" t="s">
        <v>489</v>
      </c>
      <c r="E123" s="7" cm="1">
        <f t="array" ref="E123">_xlfn.XMATCH(F123&amp;G123&amp;H123, _xlfn.UNIQUE(F$2:F$369 &amp; G$2:G$369 &amp; H$2:H$369))</f>
        <v>87</v>
      </c>
      <c r="F123" s="8" t="s">
        <v>102</v>
      </c>
      <c r="G123" s="8" t="s">
        <v>490</v>
      </c>
      <c r="H123" s="8" t="s">
        <v>37</v>
      </c>
      <c r="I123" s="8" t="s">
        <v>491</v>
      </c>
      <c r="J123" s="7"/>
      <c r="K123" s="8" t="s">
        <v>22</v>
      </c>
      <c r="L123" s="8" t="s">
        <v>134</v>
      </c>
      <c r="M123" s="8" t="s">
        <v>84</v>
      </c>
      <c r="N123" s="8" t="s">
        <v>492</v>
      </c>
      <c r="O123" s="13">
        <v>420000</v>
      </c>
      <c r="P123" s="23">
        <v>100000</v>
      </c>
      <c r="Q123" s="7">
        <v>24</v>
      </c>
      <c r="R123" s="8" t="s">
        <v>280</v>
      </c>
      <c r="S123" s="15"/>
    </row>
    <row r="124" spans="1:19" x14ac:dyDescent="0.25">
      <c r="A124" s="10">
        <f t="shared" si="2"/>
        <v>2023</v>
      </c>
      <c r="B124" s="11" t="str">
        <f t="shared" si="3"/>
        <v>April</v>
      </c>
      <c r="C124" s="12">
        <v>45042</v>
      </c>
      <c r="D124" s="8" t="s">
        <v>493</v>
      </c>
      <c r="E124" s="7" cm="1">
        <f t="array" ref="E124">_xlfn.XMATCH(F124&amp;G124&amp;H124, _xlfn.UNIQUE(F$2:F$369 &amp; G$2:G$369 &amp; H$2:H$369))</f>
        <v>88</v>
      </c>
      <c r="F124" s="8" t="s">
        <v>494</v>
      </c>
      <c r="G124" s="8" t="s">
        <v>337</v>
      </c>
      <c r="H124" s="8" t="s">
        <v>338</v>
      </c>
      <c r="I124" s="8" t="s">
        <v>495</v>
      </c>
      <c r="J124" s="7"/>
      <c r="K124" s="8" t="s">
        <v>22</v>
      </c>
      <c r="L124" s="8" t="s">
        <v>134</v>
      </c>
      <c r="M124" s="8" t="s">
        <v>84</v>
      </c>
      <c r="N124" s="8" t="s">
        <v>496</v>
      </c>
      <c r="O124" s="13">
        <v>450000</v>
      </c>
      <c r="P124" s="23">
        <v>150000</v>
      </c>
      <c r="Q124" s="7">
        <v>15</v>
      </c>
      <c r="R124" s="8" t="s">
        <v>280</v>
      </c>
      <c r="S124" s="15"/>
    </row>
    <row r="125" spans="1:19" x14ac:dyDescent="0.25">
      <c r="A125" s="10">
        <f t="shared" si="2"/>
        <v>2023</v>
      </c>
      <c r="B125" s="11" t="str">
        <f t="shared" si="3"/>
        <v>April</v>
      </c>
      <c r="C125" s="12">
        <v>45043</v>
      </c>
      <c r="D125" s="8" t="s">
        <v>497</v>
      </c>
      <c r="E125" s="7" cm="1">
        <f t="array" ref="E125">_xlfn.XMATCH(F125&amp;G125&amp;H125, _xlfn.UNIQUE(F$2:F$369 &amp; G$2:G$369 &amp; H$2:H$369))</f>
        <v>89</v>
      </c>
      <c r="F125" s="8" t="s">
        <v>498</v>
      </c>
      <c r="G125" s="8" t="s">
        <v>499</v>
      </c>
      <c r="H125" s="8" t="s">
        <v>500</v>
      </c>
      <c r="I125" s="8" t="s">
        <v>501</v>
      </c>
      <c r="J125" s="7"/>
      <c r="K125" s="8" t="s">
        <v>22</v>
      </c>
      <c r="L125" s="8" t="s">
        <v>134</v>
      </c>
      <c r="M125" s="8" t="s">
        <v>84</v>
      </c>
      <c r="N125" s="8" t="s">
        <v>502</v>
      </c>
      <c r="O125" s="13">
        <v>435000</v>
      </c>
      <c r="P125" s="23">
        <v>174000</v>
      </c>
      <c r="Q125" s="7">
        <v>12</v>
      </c>
      <c r="R125" s="8" t="s">
        <v>280</v>
      </c>
      <c r="S125" s="15"/>
    </row>
    <row r="126" spans="1:19" x14ac:dyDescent="0.25">
      <c r="A126" s="10">
        <f t="shared" si="2"/>
        <v>2023</v>
      </c>
      <c r="B126" s="11" t="str">
        <f t="shared" si="3"/>
        <v>April</v>
      </c>
      <c r="C126" s="12">
        <v>45044</v>
      </c>
      <c r="D126" s="8" t="s">
        <v>503</v>
      </c>
      <c r="E126" s="7" cm="1">
        <f t="array" ref="E126">_xlfn.XMATCH(F126&amp;G126&amp;H126, _xlfn.UNIQUE(F$2:F$369 &amp; G$2:G$369 &amp; H$2:H$369))</f>
        <v>90</v>
      </c>
      <c r="F126" s="8" t="s">
        <v>504</v>
      </c>
      <c r="G126" s="8" t="s">
        <v>505</v>
      </c>
      <c r="H126" s="8" t="s">
        <v>196</v>
      </c>
      <c r="I126" s="8" t="s">
        <v>506</v>
      </c>
      <c r="J126" s="7"/>
      <c r="K126" s="8" t="s">
        <v>22</v>
      </c>
      <c r="L126" s="8" t="s">
        <v>134</v>
      </c>
      <c r="M126" s="8" t="s">
        <v>84</v>
      </c>
      <c r="N126" s="8" t="s">
        <v>507</v>
      </c>
      <c r="O126" s="13">
        <v>430000</v>
      </c>
      <c r="P126" s="23">
        <v>100000</v>
      </c>
      <c r="Q126" s="7">
        <v>24</v>
      </c>
      <c r="R126" s="8" t="s">
        <v>280</v>
      </c>
      <c r="S126" s="15"/>
    </row>
    <row r="127" spans="1:19" x14ac:dyDescent="0.25">
      <c r="A127" s="10">
        <f t="shared" si="2"/>
        <v>2023</v>
      </c>
      <c r="B127" s="11" t="str">
        <f t="shared" si="3"/>
        <v>May</v>
      </c>
      <c r="C127" s="12">
        <v>45057</v>
      </c>
      <c r="D127" s="8" t="s">
        <v>508</v>
      </c>
      <c r="E127" s="7" cm="1">
        <f t="array" ref="E127">_xlfn.XMATCH(F127&amp;G127&amp;H127, _xlfn.UNIQUE(F$2:F$369 &amp; G$2:G$369 &amp; H$2:H$369))</f>
        <v>91</v>
      </c>
      <c r="F127" s="8" t="s">
        <v>509</v>
      </c>
      <c r="G127" s="8" t="s">
        <v>214</v>
      </c>
      <c r="H127" s="8" t="s">
        <v>116</v>
      </c>
      <c r="I127" s="8" t="s">
        <v>510</v>
      </c>
      <c r="J127" s="7"/>
      <c r="K127" s="8" t="s">
        <v>68</v>
      </c>
      <c r="L127" s="8" t="s">
        <v>350</v>
      </c>
      <c r="M127" s="8" t="s">
        <v>84</v>
      </c>
      <c r="N127" s="8"/>
      <c r="O127" s="13">
        <v>2000000</v>
      </c>
      <c r="P127" s="14">
        <v>0.4</v>
      </c>
      <c r="Q127" s="7">
        <v>36</v>
      </c>
      <c r="R127" s="8" t="s">
        <v>410</v>
      </c>
      <c r="S127" s="15"/>
    </row>
    <row r="128" spans="1:19" x14ac:dyDescent="0.25">
      <c r="A128" s="10">
        <f t="shared" si="2"/>
        <v>2023</v>
      </c>
      <c r="B128" s="11" t="str">
        <f t="shared" si="3"/>
        <v>May</v>
      </c>
      <c r="C128" s="12">
        <v>45069</v>
      </c>
      <c r="D128" s="8" t="s">
        <v>511</v>
      </c>
      <c r="E128" s="7" cm="1">
        <f t="array" ref="E128">_xlfn.XMATCH(F128&amp;G128&amp;H128, _xlfn.UNIQUE(F$2:F$369 &amp; G$2:G$369 &amp; H$2:H$369))</f>
        <v>37</v>
      </c>
      <c r="F128" s="8" t="s">
        <v>217</v>
      </c>
      <c r="G128" s="8" t="s">
        <v>63</v>
      </c>
      <c r="H128" s="8" t="s">
        <v>196</v>
      </c>
      <c r="I128" s="8" t="s">
        <v>512</v>
      </c>
      <c r="J128" s="7"/>
      <c r="K128" s="8" t="s">
        <v>22</v>
      </c>
      <c r="L128" s="8" t="s">
        <v>134</v>
      </c>
      <c r="M128" s="8" t="s">
        <v>84</v>
      </c>
      <c r="N128" s="8" t="s">
        <v>513</v>
      </c>
      <c r="O128" s="13">
        <v>450000</v>
      </c>
      <c r="P128" s="23">
        <v>100000</v>
      </c>
      <c r="Q128" s="7">
        <v>24</v>
      </c>
      <c r="R128" s="8" t="s">
        <v>280</v>
      </c>
      <c r="S128" s="15"/>
    </row>
    <row r="129" spans="1:19" x14ac:dyDescent="0.25">
      <c r="A129" s="10">
        <f t="shared" si="2"/>
        <v>2023</v>
      </c>
      <c r="B129" s="11" t="str">
        <f t="shared" si="3"/>
        <v>May</v>
      </c>
      <c r="C129" s="12">
        <v>45070</v>
      </c>
      <c r="D129" s="8" t="s">
        <v>514</v>
      </c>
      <c r="E129" s="7" cm="1">
        <f t="array" ref="E129">_xlfn.XMATCH(F129&amp;G129&amp;H129, _xlfn.UNIQUE(F$2:F$369 &amp; G$2:G$369 &amp; H$2:H$369))</f>
        <v>92</v>
      </c>
      <c r="F129" s="8" t="s">
        <v>515</v>
      </c>
      <c r="G129" s="8" t="s">
        <v>168</v>
      </c>
      <c r="H129" s="8" t="s">
        <v>52</v>
      </c>
      <c r="I129" s="8" t="s">
        <v>516</v>
      </c>
      <c r="J129" s="7"/>
      <c r="K129" s="8" t="s">
        <v>22</v>
      </c>
      <c r="L129" s="8" t="s">
        <v>134</v>
      </c>
      <c r="M129" s="8" t="s">
        <v>84</v>
      </c>
      <c r="N129" s="8" t="s">
        <v>517</v>
      </c>
      <c r="O129" s="13">
        <v>450000</v>
      </c>
      <c r="P129" s="23">
        <v>100000</v>
      </c>
      <c r="Q129" s="7">
        <v>24</v>
      </c>
      <c r="R129" s="8" t="s">
        <v>280</v>
      </c>
      <c r="S129" s="15"/>
    </row>
    <row r="130" spans="1:19" x14ac:dyDescent="0.25">
      <c r="A130" s="10">
        <f t="shared" ref="A130:A174" si="4">YEAR($C130)</f>
        <v>2023</v>
      </c>
      <c r="B130" s="11" t="str">
        <f t="shared" ref="B130:B174" si="5">TEXT(C130,"mmmm")</f>
        <v>May</v>
      </c>
      <c r="C130" s="12">
        <v>45070</v>
      </c>
      <c r="D130" s="8" t="s">
        <v>518</v>
      </c>
      <c r="E130" s="7" cm="1">
        <f t="array" ref="E130">_xlfn.XMATCH(F130&amp;G130&amp;H130, _xlfn.UNIQUE(F$2:F$369 &amp; G$2:G$369 &amp; H$2:H$369))</f>
        <v>93</v>
      </c>
      <c r="F130" s="8" t="s">
        <v>519</v>
      </c>
      <c r="G130" s="8" t="s">
        <v>520</v>
      </c>
      <c r="H130" s="8" t="s">
        <v>52</v>
      </c>
      <c r="I130" s="8" t="s">
        <v>521</v>
      </c>
      <c r="J130" s="7"/>
      <c r="K130" s="8" t="s">
        <v>22</v>
      </c>
      <c r="L130" s="8" t="s">
        <v>134</v>
      </c>
      <c r="M130" s="8" t="s">
        <v>84</v>
      </c>
      <c r="N130" s="8" t="s">
        <v>522</v>
      </c>
      <c r="O130" s="13">
        <v>450000</v>
      </c>
      <c r="P130" s="23">
        <v>100000</v>
      </c>
      <c r="Q130" s="7">
        <v>24</v>
      </c>
      <c r="R130" s="8" t="s">
        <v>280</v>
      </c>
      <c r="S130" s="15"/>
    </row>
    <row r="131" spans="1:19" x14ac:dyDescent="0.25">
      <c r="A131" s="10">
        <f t="shared" si="4"/>
        <v>2023</v>
      </c>
      <c r="B131" s="11" t="str">
        <f t="shared" si="5"/>
        <v>May</v>
      </c>
      <c r="C131" s="12">
        <v>45071</v>
      </c>
      <c r="D131" s="8" t="s">
        <v>523</v>
      </c>
      <c r="E131" s="7" cm="1">
        <f t="array" ref="E131">_xlfn.XMATCH(F131&amp;G131&amp;H131, _xlfn.UNIQUE(F$2:F$369 &amp; G$2:G$369 &amp; H$2:H$369))</f>
        <v>94</v>
      </c>
      <c r="F131" s="8" t="s">
        <v>524</v>
      </c>
      <c r="G131" s="8" t="s">
        <v>525</v>
      </c>
      <c r="H131" s="8" t="s">
        <v>64</v>
      </c>
      <c r="I131" s="8" t="s">
        <v>526</v>
      </c>
      <c r="J131" s="7"/>
      <c r="K131" s="8" t="s">
        <v>22</v>
      </c>
      <c r="L131" s="8" t="s">
        <v>134</v>
      </c>
      <c r="M131" s="8" t="s">
        <v>84</v>
      </c>
      <c r="N131" s="8" t="s">
        <v>527</v>
      </c>
      <c r="O131" s="13">
        <v>450000</v>
      </c>
      <c r="P131" s="23">
        <v>100000</v>
      </c>
      <c r="Q131" s="7">
        <v>24</v>
      </c>
      <c r="R131" s="8" t="s">
        <v>280</v>
      </c>
      <c r="S131" s="15"/>
    </row>
    <row r="132" spans="1:19" x14ac:dyDescent="0.25">
      <c r="A132" s="10">
        <f t="shared" si="4"/>
        <v>2023</v>
      </c>
      <c r="B132" s="11" t="str">
        <f t="shared" si="5"/>
        <v>May</v>
      </c>
      <c r="C132" s="12">
        <v>45071</v>
      </c>
      <c r="D132" s="8" t="s">
        <v>528</v>
      </c>
      <c r="E132" s="7" cm="1">
        <f t="array" ref="E132">_xlfn.XMATCH(F132&amp;G132&amp;H132, _xlfn.UNIQUE(F$2:F$369 &amp; G$2:G$369 &amp; H$2:H$369))</f>
        <v>95</v>
      </c>
      <c r="F132" s="8" t="s">
        <v>529</v>
      </c>
      <c r="G132" s="8" t="s">
        <v>530</v>
      </c>
      <c r="H132" s="8" t="s">
        <v>64</v>
      </c>
      <c r="I132" s="8" t="s">
        <v>531</v>
      </c>
      <c r="J132" s="7"/>
      <c r="K132" s="8" t="s">
        <v>22</v>
      </c>
      <c r="L132" s="8" t="s">
        <v>134</v>
      </c>
      <c r="M132" s="8" t="s">
        <v>84</v>
      </c>
      <c r="N132" s="8" t="s">
        <v>532</v>
      </c>
      <c r="O132" s="13">
        <v>450000</v>
      </c>
      <c r="P132" s="23">
        <v>100000</v>
      </c>
      <c r="Q132" s="7">
        <v>24</v>
      </c>
      <c r="R132" s="8" t="s">
        <v>280</v>
      </c>
      <c r="S132" s="15"/>
    </row>
    <row r="133" spans="1:19" x14ac:dyDescent="0.25">
      <c r="A133" s="10">
        <f t="shared" si="4"/>
        <v>2023</v>
      </c>
      <c r="B133" s="11" t="str">
        <f t="shared" si="5"/>
        <v>May</v>
      </c>
      <c r="C133" s="12">
        <v>45077</v>
      </c>
      <c r="D133" s="8" t="s">
        <v>533</v>
      </c>
      <c r="E133" s="7" cm="1">
        <f t="array" ref="E133">_xlfn.XMATCH(F133&amp;G133&amp;H133, _xlfn.UNIQUE(F$2:F$369 &amp; G$2:G$369 &amp; H$2:H$369))</f>
        <v>96</v>
      </c>
      <c r="F133" s="8" t="s">
        <v>59</v>
      </c>
      <c r="G133" s="8" t="s">
        <v>534</v>
      </c>
      <c r="H133" s="8" t="s">
        <v>52</v>
      </c>
      <c r="I133" s="8" t="s">
        <v>535</v>
      </c>
      <c r="J133" s="7"/>
      <c r="K133" s="8" t="s">
        <v>22</v>
      </c>
      <c r="L133" s="8" t="s">
        <v>134</v>
      </c>
      <c r="M133" s="8" t="s">
        <v>84</v>
      </c>
      <c r="N133" s="8" t="s">
        <v>536</v>
      </c>
      <c r="O133" s="13">
        <v>450000</v>
      </c>
      <c r="P133" s="23">
        <v>100000</v>
      </c>
      <c r="Q133" s="7">
        <v>14</v>
      </c>
      <c r="R133" s="8" t="s">
        <v>280</v>
      </c>
      <c r="S133" s="15"/>
    </row>
    <row r="134" spans="1:19" x14ac:dyDescent="0.25">
      <c r="A134" s="10">
        <f t="shared" si="4"/>
        <v>2023</v>
      </c>
      <c r="B134" s="11" t="str">
        <f t="shared" si="5"/>
        <v>June</v>
      </c>
      <c r="C134" s="12">
        <v>45106</v>
      </c>
      <c r="D134" s="8" t="s">
        <v>537</v>
      </c>
      <c r="E134" s="7" cm="1">
        <f t="array" ref="E134">_xlfn.XMATCH(F134&amp;G134&amp;H134, _xlfn.UNIQUE(F$2:F$369 &amp; G$2:G$369 &amp; H$2:H$369))</f>
        <v>97</v>
      </c>
      <c r="F134" s="8" t="s">
        <v>538</v>
      </c>
      <c r="G134" s="8" t="s">
        <v>445</v>
      </c>
      <c r="H134" s="8" t="s">
        <v>46</v>
      </c>
      <c r="I134" s="8" t="s">
        <v>539</v>
      </c>
      <c r="J134" s="7"/>
      <c r="K134" s="8" t="s">
        <v>22</v>
      </c>
      <c r="L134" s="8" t="s">
        <v>134</v>
      </c>
      <c r="M134" s="8" t="s">
        <v>84</v>
      </c>
      <c r="N134" s="8" t="s">
        <v>540</v>
      </c>
      <c r="O134" s="13">
        <v>450000</v>
      </c>
      <c r="P134" s="23">
        <v>270000</v>
      </c>
      <c r="Q134" s="7">
        <v>12</v>
      </c>
      <c r="R134" s="8" t="s">
        <v>280</v>
      </c>
      <c r="S134" s="15"/>
    </row>
    <row r="135" spans="1:19" x14ac:dyDescent="0.25">
      <c r="A135" s="10">
        <f t="shared" si="4"/>
        <v>2023</v>
      </c>
      <c r="B135" s="11" t="str">
        <f t="shared" si="5"/>
        <v>July</v>
      </c>
      <c r="C135" s="12">
        <v>45115</v>
      </c>
      <c r="D135" s="8" t="s">
        <v>541</v>
      </c>
      <c r="E135" s="7" cm="1">
        <f t="array" ref="E135">_xlfn.XMATCH(F135&amp;G135&amp;H135, _xlfn.UNIQUE(F$2:F$369 &amp; G$2:G$369 &amp; H$2:H$369))</f>
        <v>98</v>
      </c>
      <c r="F135" s="8" t="s">
        <v>542</v>
      </c>
      <c r="G135" s="8" t="s">
        <v>185</v>
      </c>
      <c r="H135" s="8" t="s">
        <v>37</v>
      </c>
      <c r="I135" s="8" t="s">
        <v>543</v>
      </c>
      <c r="J135" s="7"/>
      <c r="K135" s="8" t="s">
        <v>78</v>
      </c>
      <c r="L135" s="8" t="s">
        <v>79</v>
      </c>
      <c r="M135" s="8" t="s">
        <v>84</v>
      </c>
      <c r="N135" s="8">
        <v>27844</v>
      </c>
      <c r="O135" s="13">
        <v>450000</v>
      </c>
      <c r="P135" s="23">
        <v>180000</v>
      </c>
      <c r="Q135" s="7">
        <v>18</v>
      </c>
      <c r="R135" s="8" t="s">
        <v>544</v>
      </c>
      <c r="S135" s="15"/>
    </row>
    <row r="136" spans="1:19" x14ac:dyDescent="0.25">
      <c r="A136" s="10">
        <f t="shared" si="4"/>
        <v>2023</v>
      </c>
      <c r="B136" s="11" t="str">
        <f t="shared" si="5"/>
        <v>July</v>
      </c>
      <c r="C136" s="12">
        <v>45127</v>
      </c>
      <c r="D136" s="8" t="s">
        <v>545</v>
      </c>
      <c r="E136" s="7" cm="1">
        <f t="array" ref="E136">_xlfn.XMATCH(F136&amp;G136&amp;H136, _xlfn.UNIQUE(F$2:F$369 &amp; G$2:G$369 &amp; H$2:H$369))</f>
        <v>99</v>
      </c>
      <c r="F136" s="8" t="s">
        <v>546</v>
      </c>
      <c r="G136" s="8" t="s">
        <v>547</v>
      </c>
      <c r="H136" s="8" t="s">
        <v>548</v>
      </c>
      <c r="I136" s="8" t="s">
        <v>549</v>
      </c>
      <c r="J136" s="7"/>
      <c r="K136" s="8" t="s">
        <v>22</v>
      </c>
      <c r="L136" s="8" t="s">
        <v>134</v>
      </c>
      <c r="M136" s="8" t="s">
        <v>84</v>
      </c>
      <c r="N136" s="8" t="s">
        <v>550</v>
      </c>
      <c r="O136" s="13">
        <v>420000</v>
      </c>
      <c r="P136" s="14"/>
      <c r="Q136" s="7" t="s">
        <v>70</v>
      </c>
      <c r="R136" s="8" t="s">
        <v>280</v>
      </c>
      <c r="S136" s="15"/>
    </row>
    <row r="137" spans="1:19" x14ac:dyDescent="0.25">
      <c r="A137" s="10">
        <f t="shared" si="4"/>
        <v>2023</v>
      </c>
      <c r="B137" s="11" t="str">
        <f t="shared" si="5"/>
        <v>July</v>
      </c>
      <c r="C137" s="12">
        <v>45131</v>
      </c>
      <c r="D137" s="8" t="s">
        <v>551</v>
      </c>
      <c r="E137" s="7" cm="1">
        <f t="array" ref="E137">_xlfn.XMATCH(F137&amp;G137&amp;H137, _xlfn.UNIQUE(F$2:F$369 &amp; G$2:G$369 &amp; H$2:H$369))</f>
        <v>100</v>
      </c>
      <c r="F137" s="8" t="s">
        <v>552</v>
      </c>
      <c r="G137" s="8" t="s">
        <v>238</v>
      </c>
      <c r="H137" s="8" t="s">
        <v>196</v>
      </c>
      <c r="I137" s="8" t="s">
        <v>553</v>
      </c>
      <c r="J137" s="7"/>
      <c r="K137" s="8" t="s">
        <v>22</v>
      </c>
      <c r="L137" s="8" t="s">
        <v>134</v>
      </c>
      <c r="M137" s="8" t="s">
        <v>84</v>
      </c>
      <c r="N137" s="8" t="s">
        <v>554</v>
      </c>
      <c r="O137" s="13">
        <v>450000</v>
      </c>
      <c r="P137" s="23">
        <v>180000</v>
      </c>
      <c r="Q137" s="7">
        <v>24</v>
      </c>
      <c r="R137" s="8" t="s">
        <v>280</v>
      </c>
      <c r="S137" s="15"/>
    </row>
    <row r="138" spans="1:19" x14ac:dyDescent="0.25">
      <c r="A138" s="10">
        <f t="shared" si="4"/>
        <v>2023</v>
      </c>
      <c r="B138" s="11" t="str">
        <f t="shared" si="5"/>
        <v>July</v>
      </c>
      <c r="C138" s="12">
        <v>45135</v>
      </c>
      <c r="D138" s="8" t="s">
        <v>555</v>
      </c>
      <c r="E138" s="7" cm="1">
        <f t="array" ref="E138">_xlfn.XMATCH(F138&amp;G138&amp;H138, _xlfn.UNIQUE(F$2:F$369 &amp; G$2:G$369 &amp; H$2:H$369))</f>
        <v>101</v>
      </c>
      <c r="F138" s="8" t="s">
        <v>556</v>
      </c>
      <c r="G138" s="8" t="s">
        <v>557</v>
      </c>
      <c r="H138" s="8" t="s">
        <v>461</v>
      </c>
      <c r="I138" s="8"/>
      <c r="J138" s="7"/>
      <c r="K138" s="8" t="s">
        <v>22</v>
      </c>
      <c r="L138" s="8" t="s">
        <v>134</v>
      </c>
      <c r="M138" s="8" t="s">
        <v>84</v>
      </c>
      <c r="N138" s="8" t="s">
        <v>558</v>
      </c>
      <c r="O138" s="13">
        <v>430000</v>
      </c>
      <c r="P138" s="23">
        <v>175000</v>
      </c>
      <c r="Q138" s="7">
        <v>24</v>
      </c>
      <c r="R138" s="8" t="s">
        <v>280</v>
      </c>
      <c r="S138" s="15"/>
    </row>
    <row r="139" spans="1:19" x14ac:dyDescent="0.25">
      <c r="A139" s="10">
        <f t="shared" si="4"/>
        <v>2023</v>
      </c>
      <c r="B139" s="11" t="str">
        <f t="shared" si="5"/>
        <v>July</v>
      </c>
      <c r="C139" s="12">
        <v>45135</v>
      </c>
      <c r="D139" s="8" t="s">
        <v>555</v>
      </c>
      <c r="E139" s="7" cm="1">
        <f t="array" ref="E139">_xlfn.XMATCH(F139&amp;G139&amp;H139, _xlfn.UNIQUE(F$2:F$369 &amp; G$2:G$369 &amp; H$2:H$369))</f>
        <v>101</v>
      </c>
      <c r="F139" s="8" t="s">
        <v>556</v>
      </c>
      <c r="G139" s="8" t="s">
        <v>557</v>
      </c>
      <c r="H139" s="8" t="s">
        <v>461</v>
      </c>
      <c r="I139" s="8"/>
      <c r="J139" s="7"/>
      <c r="K139" s="8" t="s">
        <v>78</v>
      </c>
      <c r="L139" s="8" t="s">
        <v>79</v>
      </c>
      <c r="M139" s="8" t="s">
        <v>84</v>
      </c>
      <c r="N139" s="8"/>
      <c r="O139" s="13">
        <v>430000</v>
      </c>
      <c r="P139" s="23">
        <v>175000</v>
      </c>
      <c r="Q139" s="7">
        <v>24</v>
      </c>
      <c r="R139" s="8" t="s">
        <v>155</v>
      </c>
      <c r="S139" s="15"/>
    </row>
    <row r="140" spans="1:19" x14ac:dyDescent="0.25">
      <c r="A140" s="10">
        <f t="shared" si="4"/>
        <v>2023</v>
      </c>
      <c r="B140" s="11" t="str">
        <f t="shared" si="5"/>
        <v>July</v>
      </c>
      <c r="C140" s="12">
        <v>45138</v>
      </c>
      <c r="D140" s="8" t="s">
        <v>559</v>
      </c>
      <c r="E140" s="7" cm="1">
        <f t="array" ref="E140">_xlfn.XMATCH(F140&amp;G140&amp;H140, _xlfn.UNIQUE(F$2:F$369 &amp; G$2:G$369 &amp; H$2:H$369))</f>
        <v>102</v>
      </c>
      <c r="F140" s="8" t="s">
        <v>560</v>
      </c>
      <c r="G140" s="8" t="s">
        <v>561</v>
      </c>
      <c r="H140" s="8" t="s">
        <v>21</v>
      </c>
      <c r="I140" s="8" t="s">
        <v>562</v>
      </c>
      <c r="J140" s="7"/>
      <c r="K140" s="8" t="s">
        <v>22</v>
      </c>
      <c r="L140" s="8" t="s">
        <v>134</v>
      </c>
      <c r="M140" s="8" t="s">
        <v>84</v>
      </c>
      <c r="N140" s="8" t="s">
        <v>563</v>
      </c>
      <c r="O140" s="13">
        <v>430000</v>
      </c>
      <c r="P140" s="23">
        <v>75000</v>
      </c>
      <c r="Q140" s="7">
        <v>1</v>
      </c>
      <c r="R140" s="8" t="s">
        <v>280</v>
      </c>
      <c r="S140" s="15"/>
    </row>
    <row r="141" spans="1:19" x14ac:dyDescent="0.25">
      <c r="A141" s="10">
        <f t="shared" si="4"/>
        <v>2023</v>
      </c>
      <c r="B141" s="11" t="str">
        <f t="shared" si="5"/>
        <v>July</v>
      </c>
      <c r="C141" s="12">
        <v>45138</v>
      </c>
      <c r="D141" s="8" t="s">
        <v>559</v>
      </c>
      <c r="E141" s="7" cm="1">
        <f t="array" ref="E141">_xlfn.XMATCH(F141&amp;G141&amp;H141, _xlfn.UNIQUE(F$2:F$369 &amp; G$2:G$369 &amp; H$2:H$369))</f>
        <v>102</v>
      </c>
      <c r="F141" s="8" t="s">
        <v>560</v>
      </c>
      <c r="G141" s="8" t="s">
        <v>561</v>
      </c>
      <c r="H141" s="8" t="s">
        <v>21</v>
      </c>
      <c r="I141" s="8" t="s">
        <v>562</v>
      </c>
      <c r="J141" s="7"/>
      <c r="K141" s="8" t="s">
        <v>564</v>
      </c>
      <c r="L141" s="8" t="s">
        <v>565</v>
      </c>
      <c r="M141" s="8" t="s">
        <v>84</v>
      </c>
      <c r="N141" s="8" t="s">
        <v>566</v>
      </c>
      <c r="O141" s="13">
        <v>0</v>
      </c>
      <c r="P141" s="14"/>
      <c r="Q141" s="7"/>
      <c r="R141" s="8" t="s">
        <v>567</v>
      </c>
      <c r="S141" s="15"/>
    </row>
    <row r="142" spans="1:19" x14ac:dyDescent="0.25">
      <c r="A142" s="10">
        <f t="shared" si="4"/>
        <v>2023</v>
      </c>
      <c r="B142" s="11" t="str">
        <f t="shared" si="5"/>
        <v>August</v>
      </c>
      <c r="C142" s="12">
        <v>45139</v>
      </c>
      <c r="D142" s="8" t="s">
        <v>568</v>
      </c>
      <c r="E142" s="7" cm="1">
        <f t="array" ref="E142">_xlfn.XMATCH(F142&amp;G142&amp;H142, _xlfn.UNIQUE(F$2:F$369 &amp; G$2:G$369 &amp; H$2:H$369))</f>
        <v>103</v>
      </c>
      <c r="F142" s="8" t="s">
        <v>569</v>
      </c>
      <c r="G142" s="8" t="s">
        <v>416</v>
      </c>
      <c r="H142" s="8" t="s">
        <v>21</v>
      </c>
      <c r="I142" s="8" t="s">
        <v>570</v>
      </c>
      <c r="J142" s="7"/>
      <c r="K142" s="8" t="s">
        <v>564</v>
      </c>
      <c r="L142" s="8" t="s">
        <v>565</v>
      </c>
      <c r="M142" s="8" t="s">
        <v>84</v>
      </c>
      <c r="N142" s="8"/>
      <c r="O142" s="13">
        <v>0</v>
      </c>
      <c r="P142" s="14"/>
      <c r="Q142" s="7"/>
      <c r="R142" s="8" t="s">
        <v>567</v>
      </c>
      <c r="S142" s="15"/>
    </row>
    <row r="143" spans="1:19" x14ac:dyDescent="0.25">
      <c r="A143" s="10">
        <f t="shared" si="4"/>
        <v>2023</v>
      </c>
      <c r="B143" s="11" t="str">
        <f t="shared" si="5"/>
        <v>August</v>
      </c>
      <c r="C143" s="12">
        <v>45139</v>
      </c>
      <c r="D143" s="8" t="s">
        <v>568</v>
      </c>
      <c r="E143" s="7" cm="1">
        <f t="array" ref="E143">_xlfn.XMATCH(F143&amp;G143&amp;H143, _xlfn.UNIQUE(F$2:F$369 &amp; G$2:G$369 &amp; H$2:H$369))</f>
        <v>103</v>
      </c>
      <c r="F143" s="8" t="s">
        <v>569</v>
      </c>
      <c r="G143" s="8" t="s">
        <v>416</v>
      </c>
      <c r="H143" s="8" t="s">
        <v>21</v>
      </c>
      <c r="I143" s="8" t="s">
        <v>570</v>
      </c>
      <c r="J143" s="7"/>
      <c r="K143" s="8" t="s">
        <v>22</v>
      </c>
      <c r="L143" s="8" t="s">
        <v>134</v>
      </c>
      <c r="M143" s="8" t="s">
        <v>84</v>
      </c>
      <c r="N143" s="8" t="s">
        <v>571</v>
      </c>
      <c r="O143" s="13">
        <v>450000</v>
      </c>
      <c r="P143" s="23">
        <v>100000</v>
      </c>
      <c r="Q143" s="7">
        <v>24</v>
      </c>
      <c r="R143" s="8" t="s">
        <v>280</v>
      </c>
      <c r="S143" s="15"/>
    </row>
    <row r="144" spans="1:19" x14ac:dyDescent="0.25">
      <c r="A144" s="10">
        <f t="shared" si="4"/>
        <v>2023</v>
      </c>
      <c r="B144" s="11" t="str">
        <f t="shared" si="5"/>
        <v>August</v>
      </c>
      <c r="C144" s="12">
        <v>45148</v>
      </c>
      <c r="D144" s="8" t="s">
        <v>572</v>
      </c>
      <c r="E144" s="7" cm="1">
        <f t="array" ref="E144">_xlfn.XMATCH(F144&amp;G144&amp;H144, _xlfn.UNIQUE(F$2:F$369 &amp; G$2:G$369 &amp; H$2:H$369))</f>
        <v>104</v>
      </c>
      <c r="F144" s="8" t="s">
        <v>304</v>
      </c>
      <c r="G144" s="8" t="s">
        <v>573</v>
      </c>
      <c r="H144" s="8" t="s">
        <v>227</v>
      </c>
      <c r="I144" s="8" t="s">
        <v>476</v>
      </c>
      <c r="J144" s="7"/>
      <c r="K144" s="8" t="s">
        <v>22</v>
      </c>
      <c r="L144" s="8" t="s">
        <v>134</v>
      </c>
      <c r="M144" s="8" t="s">
        <v>84</v>
      </c>
      <c r="N144" s="8" t="s">
        <v>574</v>
      </c>
      <c r="O144" s="13">
        <v>450000</v>
      </c>
      <c r="P144" s="23">
        <v>180000</v>
      </c>
      <c r="Q144" s="7">
        <v>12</v>
      </c>
      <c r="R144" s="8" t="s">
        <v>280</v>
      </c>
      <c r="S144" s="15"/>
    </row>
    <row r="145" spans="1:19" x14ac:dyDescent="0.25">
      <c r="A145" s="10">
        <f t="shared" si="4"/>
        <v>2023</v>
      </c>
      <c r="B145" s="11" t="str">
        <f t="shared" si="5"/>
        <v>August</v>
      </c>
      <c r="C145" s="12">
        <v>45148</v>
      </c>
      <c r="D145" s="8" t="s">
        <v>572</v>
      </c>
      <c r="E145" s="7" cm="1">
        <f t="array" ref="E145">_xlfn.XMATCH(F145&amp;G145&amp;H145, _xlfn.UNIQUE(F$2:F$369 &amp; G$2:G$369 &amp; H$2:H$369))</f>
        <v>104</v>
      </c>
      <c r="F145" s="8" t="s">
        <v>304</v>
      </c>
      <c r="G145" s="8" t="s">
        <v>573</v>
      </c>
      <c r="H145" s="8" t="s">
        <v>227</v>
      </c>
      <c r="I145" s="8" t="s">
        <v>476</v>
      </c>
      <c r="J145" s="7"/>
      <c r="K145" s="8" t="s">
        <v>564</v>
      </c>
      <c r="L145" s="8" t="s">
        <v>565</v>
      </c>
      <c r="M145" s="8" t="s">
        <v>84</v>
      </c>
      <c r="N145" s="16" t="s">
        <v>575</v>
      </c>
      <c r="O145" s="13"/>
      <c r="P145" s="14"/>
      <c r="Q145" s="7"/>
      <c r="R145" s="8" t="s">
        <v>567</v>
      </c>
      <c r="S145" s="15"/>
    </row>
    <row r="146" spans="1:19" x14ac:dyDescent="0.25">
      <c r="A146" s="10">
        <f t="shared" si="4"/>
        <v>2023</v>
      </c>
      <c r="B146" s="11" t="str">
        <f t="shared" si="5"/>
        <v>August</v>
      </c>
      <c r="C146" s="12">
        <v>45154</v>
      </c>
      <c r="D146" s="8" t="s">
        <v>576</v>
      </c>
      <c r="E146" s="7" cm="1">
        <f t="array" ref="E146">_xlfn.XMATCH(F146&amp;G146&amp;H146, _xlfn.UNIQUE(F$2:F$369 &amp; G$2:G$369 &amp; H$2:H$369))</f>
        <v>105</v>
      </c>
      <c r="F146" s="8" t="s">
        <v>577</v>
      </c>
      <c r="G146" s="8" t="s">
        <v>578</v>
      </c>
      <c r="H146" s="8" t="s">
        <v>255</v>
      </c>
      <c r="I146" s="8" t="s">
        <v>579</v>
      </c>
      <c r="J146" s="7"/>
      <c r="K146" s="8" t="s">
        <v>564</v>
      </c>
      <c r="L146" s="8" t="s">
        <v>565</v>
      </c>
      <c r="M146" s="8" t="s">
        <v>84</v>
      </c>
      <c r="N146" s="8"/>
      <c r="O146" s="13"/>
      <c r="P146" s="14"/>
      <c r="Q146" s="7"/>
      <c r="R146" s="8" t="s">
        <v>567</v>
      </c>
      <c r="S146" s="15"/>
    </row>
    <row r="147" spans="1:19" x14ac:dyDescent="0.25">
      <c r="A147" s="10">
        <f t="shared" si="4"/>
        <v>2023</v>
      </c>
      <c r="B147" s="11" t="str">
        <f t="shared" si="5"/>
        <v>August</v>
      </c>
      <c r="C147" s="12">
        <v>45154</v>
      </c>
      <c r="D147" s="8" t="s">
        <v>576</v>
      </c>
      <c r="E147" s="7" cm="1">
        <f t="array" ref="E147">_xlfn.XMATCH(F147&amp;G147&amp;H147, _xlfn.UNIQUE(F$2:F$369 &amp; G$2:G$369 &amp; H$2:H$369))</f>
        <v>105</v>
      </c>
      <c r="F147" s="8" t="s">
        <v>577</v>
      </c>
      <c r="G147" s="8" t="s">
        <v>578</v>
      </c>
      <c r="H147" s="8" t="s">
        <v>255</v>
      </c>
      <c r="I147" s="8" t="s">
        <v>579</v>
      </c>
      <c r="J147" s="7"/>
      <c r="K147" s="8" t="s">
        <v>22</v>
      </c>
      <c r="L147" s="8" t="s">
        <v>134</v>
      </c>
      <c r="M147" s="8" t="s">
        <v>84</v>
      </c>
      <c r="N147" s="16" t="s">
        <v>580</v>
      </c>
      <c r="O147" s="13">
        <v>430000</v>
      </c>
      <c r="P147" s="23">
        <v>100000</v>
      </c>
      <c r="Q147" s="7">
        <v>24</v>
      </c>
      <c r="R147" s="8" t="s">
        <v>280</v>
      </c>
      <c r="S147" s="15"/>
    </row>
    <row r="148" spans="1:19" x14ac:dyDescent="0.25">
      <c r="A148" s="10">
        <f t="shared" si="4"/>
        <v>2023</v>
      </c>
      <c r="B148" s="11" t="str">
        <f t="shared" si="5"/>
        <v>August</v>
      </c>
      <c r="C148" s="12">
        <v>45157</v>
      </c>
      <c r="D148" s="8" t="s">
        <v>581</v>
      </c>
      <c r="E148" s="7" cm="1">
        <f t="array" ref="E148">_xlfn.XMATCH(F148&amp;G148&amp;H148, _xlfn.UNIQUE(F$2:F$369 &amp; G$2:G$369 &amp; H$2:H$369))</f>
        <v>106</v>
      </c>
      <c r="F148" s="8" t="s">
        <v>582</v>
      </c>
      <c r="G148" s="8" t="s">
        <v>30</v>
      </c>
      <c r="H148" s="8" t="s">
        <v>21</v>
      </c>
      <c r="I148" s="8"/>
      <c r="J148" s="7"/>
      <c r="K148" s="8" t="s">
        <v>22</v>
      </c>
      <c r="L148" s="8" t="s">
        <v>134</v>
      </c>
      <c r="M148" s="8" t="s">
        <v>84</v>
      </c>
      <c r="N148" s="8"/>
      <c r="O148" s="13">
        <v>370000</v>
      </c>
      <c r="P148" s="14"/>
      <c r="Q148" s="7"/>
      <c r="R148" s="8" t="s">
        <v>280</v>
      </c>
      <c r="S148" s="15"/>
    </row>
    <row r="149" spans="1:19" x14ac:dyDescent="0.25">
      <c r="A149" s="10">
        <f t="shared" si="4"/>
        <v>2023</v>
      </c>
      <c r="B149" s="11" t="str">
        <f t="shared" si="5"/>
        <v>August</v>
      </c>
      <c r="C149" s="12">
        <v>45157</v>
      </c>
      <c r="D149" s="8" t="s">
        <v>581</v>
      </c>
      <c r="E149" s="7" cm="1">
        <f t="array" ref="E149">_xlfn.XMATCH(F149&amp;G149&amp;H149, _xlfn.UNIQUE(F$2:F$369 &amp; G$2:G$369 &amp; H$2:H$369))</f>
        <v>106</v>
      </c>
      <c r="F149" s="8" t="s">
        <v>582</v>
      </c>
      <c r="G149" s="8" t="s">
        <v>30</v>
      </c>
      <c r="H149" s="8" t="s">
        <v>21</v>
      </c>
      <c r="I149" s="8"/>
      <c r="J149" s="7"/>
      <c r="K149" s="8" t="s">
        <v>564</v>
      </c>
      <c r="L149" s="8" t="s">
        <v>565</v>
      </c>
      <c r="M149" s="8" t="s">
        <v>84</v>
      </c>
      <c r="N149" s="8"/>
      <c r="O149" s="13"/>
      <c r="P149" s="14"/>
      <c r="Q149" s="7"/>
      <c r="R149" s="8" t="s">
        <v>567</v>
      </c>
      <c r="S149" s="15"/>
    </row>
    <row r="150" spans="1:19" x14ac:dyDescent="0.25">
      <c r="A150" s="10">
        <f t="shared" si="4"/>
        <v>2023</v>
      </c>
      <c r="B150" s="11" t="str">
        <f t="shared" si="5"/>
        <v>August</v>
      </c>
      <c r="C150" s="12">
        <v>45167</v>
      </c>
      <c r="D150" s="8" t="s">
        <v>583</v>
      </c>
      <c r="E150" s="7" cm="1">
        <f t="array" ref="E150">_xlfn.XMATCH(F150&amp;G150&amp;H150, _xlfn.UNIQUE(F$2:F$369 &amp; G$2:G$369 &amp; H$2:H$369))</f>
        <v>107</v>
      </c>
      <c r="F150" s="8" t="s">
        <v>584</v>
      </c>
      <c r="G150" s="8" t="s">
        <v>585</v>
      </c>
      <c r="H150" s="8" t="s">
        <v>255</v>
      </c>
      <c r="I150" s="8"/>
      <c r="J150" s="7"/>
      <c r="K150" s="8" t="s">
        <v>22</v>
      </c>
      <c r="L150" s="8" t="s">
        <v>134</v>
      </c>
      <c r="M150" s="8" t="s">
        <v>84</v>
      </c>
      <c r="N150" s="8" t="s">
        <v>586</v>
      </c>
      <c r="O150" s="13">
        <v>450000</v>
      </c>
      <c r="P150" s="23">
        <v>100000</v>
      </c>
      <c r="Q150" s="7">
        <v>24</v>
      </c>
      <c r="R150" s="8" t="s">
        <v>280</v>
      </c>
      <c r="S150" s="15"/>
    </row>
    <row r="151" spans="1:19" x14ac:dyDescent="0.25">
      <c r="A151" s="10">
        <f t="shared" si="4"/>
        <v>2023</v>
      </c>
      <c r="B151" s="11" t="str">
        <f t="shared" si="5"/>
        <v>August</v>
      </c>
      <c r="C151" s="12">
        <v>45168</v>
      </c>
      <c r="D151" s="8" t="s">
        <v>587</v>
      </c>
      <c r="E151" s="7" cm="1">
        <f t="array" ref="E151">_xlfn.XMATCH(F151&amp;G151&amp;H151, _xlfn.UNIQUE(F$2:F$369 &amp; G$2:G$369 &amp; H$2:H$369))</f>
        <v>108</v>
      </c>
      <c r="F151" s="8" t="s">
        <v>588</v>
      </c>
      <c r="G151" s="8" t="s">
        <v>296</v>
      </c>
      <c r="H151" s="8" t="s">
        <v>52</v>
      </c>
      <c r="I151" s="8" t="s">
        <v>589</v>
      </c>
      <c r="J151" s="7"/>
      <c r="K151" s="8" t="s">
        <v>78</v>
      </c>
      <c r="L151" s="8" t="s">
        <v>79</v>
      </c>
      <c r="M151" s="8" t="s">
        <v>84</v>
      </c>
      <c r="N151" s="8">
        <v>29596</v>
      </c>
      <c r="O151" s="13">
        <v>400000</v>
      </c>
      <c r="P151" s="23">
        <v>100000</v>
      </c>
      <c r="Q151" s="7">
        <v>36</v>
      </c>
      <c r="R151" s="8" t="s">
        <v>590</v>
      </c>
      <c r="S151" s="15"/>
    </row>
    <row r="152" spans="1:19" x14ac:dyDescent="0.25">
      <c r="A152" s="10">
        <f t="shared" si="4"/>
        <v>2023</v>
      </c>
      <c r="B152" s="11" t="str">
        <f t="shared" si="5"/>
        <v>September</v>
      </c>
      <c r="C152" s="12">
        <v>45174</v>
      </c>
      <c r="D152" s="8" t="s">
        <v>591</v>
      </c>
      <c r="E152" s="7" cm="1">
        <f t="array" ref="E152">_xlfn.XMATCH(F152&amp;G152&amp;H152, _xlfn.UNIQUE(F$2:F$369 &amp; G$2:G$369 &amp; H$2:H$369))</f>
        <v>6</v>
      </c>
      <c r="F152" s="8" t="s">
        <v>35</v>
      </c>
      <c r="G152" s="8" t="s">
        <v>36</v>
      </c>
      <c r="H152" s="8" t="s">
        <v>37</v>
      </c>
      <c r="I152" s="8" t="s">
        <v>592</v>
      </c>
      <c r="J152" s="7"/>
      <c r="K152" s="8" t="s">
        <v>78</v>
      </c>
      <c r="L152" s="8" t="s">
        <v>79</v>
      </c>
      <c r="M152" s="8" t="s">
        <v>84</v>
      </c>
      <c r="N152" s="8">
        <v>29594</v>
      </c>
      <c r="O152" s="13">
        <v>400000</v>
      </c>
      <c r="P152" s="23">
        <v>100000</v>
      </c>
      <c r="Q152" s="7">
        <v>24</v>
      </c>
      <c r="R152" s="8" t="s">
        <v>593</v>
      </c>
      <c r="S152" s="15"/>
    </row>
    <row r="153" spans="1:19" x14ac:dyDescent="0.25">
      <c r="A153" s="10">
        <f t="shared" si="4"/>
        <v>2023</v>
      </c>
      <c r="B153" s="11" t="str">
        <f t="shared" si="5"/>
        <v>September</v>
      </c>
      <c r="C153" s="12">
        <v>45176</v>
      </c>
      <c r="D153" s="8" t="s">
        <v>594</v>
      </c>
      <c r="E153" s="7" cm="1">
        <f t="array" ref="E153">_xlfn.XMATCH(F153&amp;G153&amp;H153, _xlfn.UNIQUE(F$2:F$369 &amp; G$2:G$369 &amp; H$2:H$369))</f>
        <v>109</v>
      </c>
      <c r="F153" s="8" t="s">
        <v>595</v>
      </c>
      <c r="G153" s="8" t="s">
        <v>337</v>
      </c>
      <c r="H153" s="8" t="s">
        <v>338</v>
      </c>
      <c r="I153" s="8"/>
      <c r="J153" s="7"/>
      <c r="K153" s="8" t="s">
        <v>22</v>
      </c>
      <c r="L153" s="8" t="s">
        <v>134</v>
      </c>
      <c r="M153" s="8" t="s">
        <v>84</v>
      </c>
      <c r="N153" s="8" t="s">
        <v>596</v>
      </c>
      <c r="O153" s="13">
        <v>450000</v>
      </c>
      <c r="P153" s="23">
        <v>180000</v>
      </c>
      <c r="Q153" s="7">
        <v>24</v>
      </c>
      <c r="R153" s="8" t="s">
        <v>280</v>
      </c>
      <c r="S153" s="15"/>
    </row>
    <row r="154" spans="1:19" x14ac:dyDescent="0.25">
      <c r="A154" s="10">
        <f t="shared" si="4"/>
        <v>2023</v>
      </c>
      <c r="B154" s="11" t="str">
        <f t="shared" si="5"/>
        <v>September</v>
      </c>
      <c r="C154" s="12">
        <v>45176</v>
      </c>
      <c r="D154" s="8" t="s">
        <v>597</v>
      </c>
      <c r="E154" s="7" cm="1">
        <f t="array" ref="E154">_xlfn.XMATCH(F154&amp;G154&amp;H154, _xlfn.UNIQUE(F$2:F$369 &amp; G$2:G$369 &amp; H$2:H$369))</f>
        <v>110</v>
      </c>
      <c r="F154" s="8" t="s">
        <v>598</v>
      </c>
      <c r="G154" s="8" t="s">
        <v>599</v>
      </c>
      <c r="H154" s="8" t="s">
        <v>600</v>
      </c>
      <c r="I154" s="8"/>
      <c r="J154" s="7"/>
      <c r="K154" s="8" t="s">
        <v>22</v>
      </c>
      <c r="L154" s="8" t="s">
        <v>134</v>
      </c>
      <c r="M154" s="8" t="s">
        <v>84</v>
      </c>
      <c r="N154" s="8" t="s">
        <v>601</v>
      </c>
      <c r="O154" s="13">
        <v>420000</v>
      </c>
      <c r="P154" s="23">
        <v>200000</v>
      </c>
      <c r="Q154" s="7">
        <v>35</v>
      </c>
      <c r="R154" s="8" t="s">
        <v>280</v>
      </c>
      <c r="S154" s="15"/>
    </row>
    <row r="155" spans="1:19" x14ac:dyDescent="0.25">
      <c r="A155" s="10">
        <f t="shared" si="4"/>
        <v>2023</v>
      </c>
      <c r="B155" s="11" t="str">
        <f t="shared" si="5"/>
        <v>September</v>
      </c>
      <c r="C155" s="12">
        <v>45176</v>
      </c>
      <c r="D155" s="8" t="s">
        <v>597</v>
      </c>
      <c r="E155" s="7" cm="1">
        <f t="array" ref="E155">_xlfn.XMATCH(F155&amp;G155&amp;H155, _xlfn.UNIQUE(F$2:F$369 &amp; G$2:G$369 &amp; H$2:H$369))</f>
        <v>110</v>
      </c>
      <c r="F155" s="8" t="s">
        <v>598</v>
      </c>
      <c r="G155" s="8" t="s">
        <v>599</v>
      </c>
      <c r="H155" s="8" t="s">
        <v>600</v>
      </c>
      <c r="I155" s="8"/>
      <c r="J155" s="7"/>
      <c r="K155" s="8" t="s">
        <v>78</v>
      </c>
      <c r="L155" s="8" t="s">
        <v>79</v>
      </c>
      <c r="M155" s="8" t="s">
        <v>84</v>
      </c>
      <c r="N155" s="8">
        <v>29583</v>
      </c>
      <c r="O155" s="13">
        <v>420000</v>
      </c>
      <c r="P155" s="23">
        <v>200000</v>
      </c>
      <c r="Q155" s="7">
        <v>35</v>
      </c>
      <c r="R155" s="8" t="s">
        <v>590</v>
      </c>
      <c r="S155" s="15"/>
    </row>
    <row r="156" spans="1:19" x14ac:dyDescent="0.25">
      <c r="A156" s="10">
        <f t="shared" si="4"/>
        <v>2023</v>
      </c>
      <c r="B156" s="11" t="str">
        <f t="shared" si="5"/>
        <v>September</v>
      </c>
      <c r="C156" s="12">
        <v>45176</v>
      </c>
      <c r="D156" s="8" t="s">
        <v>597</v>
      </c>
      <c r="E156" s="7" cm="1">
        <f t="array" ref="E156">_xlfn.XMATCH(F156&amp;G156&amp;H156, _xlfn.UNIQUE(F$2:F$369 &amp; G$2:G$369 &amp; H$2:H$369))</f>
        <v>110</v>
      </c>
      <c r="F156" s="8" t="s">
        <v>598</v>
      </c>
      <c r="G156" s="8" t="s">
        <v>599</v>
      </c>
      <c r="H156" s="8" t="s">
        <v>600</v>
      </c>
      <c r="I156" s="8"/>
      <c r="J156" s="7"/>
      <c r="K156" s="8" t="s">
        <v>564</v>
      </c>
      <c r="L156" s="8" t="s">
        <v>565</v>
      </c>
      <c r="M156" s="8" t="s">
        <v>84</v>
      </c>
      <c r="N156" s="8" t="s">
        <v>602</v>
      </c>
      <c r="O156" s="13"/>
      <c r="P156" s="14"/>
      <c r="Q156" s="7"/>
      <c r="R156" s="8" t="s">
        <v>567</v>
      </c>
      <c r="S156" s="15"/>
    </row>
    <row r="157" spans="1:19" x14ac:dyDescent="0.25">
      <c r="A157" s="10">
        <f t="shared" si="4"/>
        <v>2023</v>
      </c>
      <c r="B157" s="11" t="str">
        <f t="shared" si="5"/>
        <v>September</v>
      </c>
      <c r="C157" s="12">
        <v>45176</v>
      </c>
      <c r="D157" s="8" t="s">
        <v>603</v>
      </c>
      <c r="E157" s="7" cm="1">
        <f t="array" ref="E157">_xlfn.XMATCH(F157&amp;G157&amp;H157, _xlfn.UNIQUE(F$2:F$369 &amp; G$2:G$369 &amp; H$2:H$369))</f>
        <v>111</v>
      </c>
      <c r="F157" s="8" t="s">
        <v>604</v>
      </c>
      <c r="G157" s="8" t="s">
        <v>605</v>
      </c>
      <c r="H157" s="8" t="s">
        <v>606</v>
      </c>
      <c r="I157" s="8" t="s">
        <v>607</v>
      </c>
      <c r="J157" s="7"/>
      <c r="K157" s="8" t="s">
        <v>22</v>
      </c>
      <c r="L157" s="8" t="s">
        <v>134</v>
      </c>
      <c r="M157" s="8" t="s">
        <v>84</v>
      </c>
      <c r="N157" s="8" t="s">
        <v>608</v>
      </c>
      <c r="O157" s="13">
        <v>450000</v>
      </c>
      <c r="P157" s="23">
        <v>180000</v>
      </c>
      <c r="Q157" s="7">
        <v>12</v>
      </c>
      <c r="R157" s="8" t="s">
        <v>280</v>
      </c>
      <c r="S157" s="15"/>
    </row>
    <row r="158" spans="1:19" x14ac:dyDescent="0.25">
      <c r="A158" s="10">
        <f t="shared" si="4"/>
        <v>2023</v>
      </c>
      <c r="B158" s="11" t="str">
        <f t="shared" si="5"/>
        <v>September</v>
      </c>
      <c r="C158" s="12">
        <v>45177</v>
      </c>
      <c r="D158" s="8" t="s">
        <v>609</v>
      </c>
      <c r="E158" s="7" cm="1">
        <f t="array" ref="E158">_xlfn.XMATCH(F158&amp;G158&amp;H158, _xlfn.UNIQUE(F$2:F$369 &amp; G$2:G$369 &amp; H$2:H$369))</f>
        <v>112</v>
      </c>
      <c r="F158" s="8" t="s">
        <v>610</v>
      </c>
      <c r="G158" s="8" t="s">
        <v>611</v>
      </c>
      <c r="H158" s="8" t="s">
        <v>255</v>
      </c>
      <c r="I158" s="8"/>
      <c r="J158" s="7"/>
      <c r="K158" s="8" t="s">
        <v>22</v>
      </c>
      <c r="L158" s="8" t="s">
        <v>134</v>
      </c>
      <c r="M158" s="8" t="s">
        <v>84</v>
      </c>
      <c r="N158" s="8" t="s">
        <v>612</v>
      </c>
      <c r="O158" s="13">
        <v>430000</v>
      </c>
      <c r="P158" s="23">
        <v>120000</v>
      </c>
      <c r="Q158" s="7">
        <v>24</v>
      </c>
      <c r="R158" s="8" t="s">
        <v>280</v>
      </c>
      <c r="S158" s="15"/>
    </row>
    <row r="159" spans="1:19" x14ac:dyDescent="0.25">
      <c r="A159" s="10">
        <f t="shared" si="4"/>
        <v>2023</v>
      </c>
      <c r="B159" s="11" t="str">
        <f t="shared" si="5"/>
        <v>September</v>
      </c>
      <c r="C159" s="12">
        <v>45184</v>
      </c>
      <c r="D159" s="8" t="s">
        <v>613</v>
      </c>
      <c r="E159" s="7" cm="1">
        <f t="array" ref="E159">_xlfn.XMATCH(F159&amp;G159&amp;H159, _xlfn.UNIQUE(F$2:F$369 &amp; G$2:G$369 &amp; H$2:H$369))</f>
        <v>78</v>
      </c>
      <c r="F159" s="8" t="s">
        <v>444</v>
      </c>
      <c r="G159" s="8" t="s">
        <v>445</v>
      </c>
      <c r="H159" s="8" t="s">
        <v>46</v>
      </c>
      <c r="I159" s="8" t="s">
        <v>614</v>
      </c>
      <c r="J159" s="7"/>
      <c r="K159" s="8" t="s">
        <v>78</v>
      </c>
      <c r="L159" s="8" t="s">
        <v>79</v>
      </c>
      <c r="M159" s="8" t="s">
        <v>84</v>
      </c>
      <c r="N159" s="8">
        <v>29663</v>
      </c>
      <c r="O159" s="13">
        <v>450000</v>
      </c>
      <c r="P159" s="23">
        <v>180000</v>
      </c>
      <c r="Q159" s="7">
        <v>12</v>
      </c>
      <c r="R159" s="8" t="s">
        <v>590</v>
      </c>
      <c r="S159" s="15"/>
    </row>
    <row r="160" spans="1:19" x14ac:dyDescent="0.25">
      <c r="A160" s="10">
        <f t="shared" si="4"/>
        <v>2023</v>
      </c>
      <c r="B160" s="11" t="str">
        <f t="shared" si="5"/>
        <v>September</v>
      </c>
      <c r="C160" s="12">
        <v>45189</v>
      </c>
      <c r="D160" s="8" t="s">
        <v>615</v>
      </c>
      <c r="E160" s="7" cm="1">
        <f t="array" ref="E160">_xlfn.XMATCH(F160&amp;G160&amp;H160, _xlfn.UNIQUE(F$2:F$369 &amp; G$2:G$369 &amp; H$2:H$369))</f>
        <v>107</v>
      </c>
      <c r="F160" s="8" t="s">
        <v>584</v>
      </c>
      <c r="G160" s="8" t="s">
        <v>585</v>
      </c>
      <c r="H160" s="8" t="s">
        <v>255</v>
      </c>
      <c r="I160" s="8"/>
      <c r="J160" s="7"/>
      <c r="K160" s="8" t="s">
        <v>78</v>
      </c>
      <c r="L160" s="8" t="s">
        <v>79</v>
      </c>
      <c r="M160" s="8" t="s">
        <v>84</v>
      </c>
      <c r="N160" s="8">
        <v>29653</v>
      </c>
      <c r="O160" s="13">
        <v>435000</v>
      </c>
      <c r="P160" s="23">
        <v>100000</v>
      </c>
      <c r="Q160" s="7">
        <v>24</v>
      </c>
      <c r="R160" s="8" t="s">
        <v>155</v>
      </c>
      <c r="S160" s="15"/>
    </row>
    <row r="161" spans="1:19" x14ac:dyDescent="0.25">
      <c r="A161" s="10">
        <f t="shared" si="4"/>
        <v>2023</v>
      </c>
      <c r="B161" s="11" t="str">
        <f t="shared" si="5"/>
        <v>September</v>
      </c>
      <c r="C161" s="12">
        <v>45197</v>
      </c>
      <c r="D161" s="8" t="s">
        <v>616</v>
      </c>
      <c r="E161" s="7" cm="1">
        <f t="array" ref="E161">_xlfn.XMATCH(F161&amp;G161&amp;H161, _xlfn.UNIQUE(F$2:F$369 &amp; G$2:G$369 &amp; H$2:H$369))</f>
        <v>113</v>
      </c>
      <c r="F161" s="8" t="s">
        <v>617</v>
      </c>
      <c r="G161" s="8" t="s">
        <v>618</v>
      </c>
      <c r="H161" s="8" t="s">
        <v>619</v>
      </c>
      <c r="I161" s="8"/>
      <c r="J161" s="7"/>
      <c r="K161" s="8" t="s">
        <v>22</v>
      </c>
      <c r="L161" s="8" t="s">
        <v>134</v>
      </c>
      <c r="M161" s="8" t="s">
        <v>84</v>
      </c>
      <c r="N161" s="8" t="s">
        <v>620</v>
      </c>
      <c r="O161" s="13">
        <v>450000</v>
      </c>
      <c r="P161" s="23">
        <v>250000</v>
      </c>
      <c r="Q161" s="7">
        <v>18</v>
      </c>
      <c r="R161" s="8" t="s">
        <v>280</v>
      </c>
      <c r="S161" s="15"/>
    </row>
    <row r="162" spans="1:19" x14ac:dyDescent="0.25">
      <c r="A162" s="10">
        <f t="shared" si="4"/>
        <v>2023</v>
      </c>
      <c r="B162" s="11" t="str">
        <f t="shared" si="5"/>
        <v>September</v>
      </c>
      <c r="C162" s="12">
        <v>45197</v>
      </c>
      <c r="D162" s="8" t="s">
        <v>621</v>
      </c>
      <c r="E162" s="7" cm="1">
        <f t="array" ref="E162">_xlfn.XMATCH(F162&amp;G162&amp;H162, _xlfn.UNIQUE(F$2:F$369 &amp; G$2:G$369 &amp; H$2:H$369))</f>
        <v>114</v>
      </c>
      <c r="F162" s="8" t="s">
        <v>622</v>
      </c>
      <c r="G162" s="8" t="s">
        <v>623</v>
      </c>
      <c r="H162" s="8" t="s">
        <v>600</v>
      </c>
      <c r="I162" s="8"/>
      <c r="J162" s="7"/>
      <c r="K162" s="8" t="s">
        <v>68</v>
      </c>
      <c r="L162" s="8" t="s">
        <v>350</v>
      </c>
      <c r="M162" s="8" t="s">
        <v>239</v>
      </c>
      <c r="N162" s="8" t="s">
        <v>624</v>
      </c>
      <c r="O162" s="13">
        <v>1500000</v>
      </c>
      <c r="P162" s="14"/>
      <c r="Q162" s="7" t="s">
        <v>70</v>
      </c>
      <c r="R162" s="8" t="s">
        <v>410</v>
      </c>
      <c r="S162" s="15"/>
    </row>
    <row r="163" spans="1:19" x14ac:dyDescent="0.25">
      <c r="A163" s="10">
        <f t="shared" si="4"/>
        <v>2023</v>
      </c>
      <c r="B163" s="11" t="str">
        <f t="shared" si="5"/>
        <v>September</v>
      </c>
      <c r="C163" s="12">
        <v>45198</v>
      </c>
      <c r="D163" s="8" t="s">
        <v>625</v>
      </c>
      <c r="E163" s="7" cm="1">
        <f t="array" ref="E163">_xlfn.XMATCH(F163&amp;G163&amp;H163, _xlfn.UNIQUE(F$2:F$369 &amp; G$2:G$369 &amp; H$2:H$369))</f>
        <v>77</v>
      </c>
      <c r="F163" s="8" t="s">
        <v>220</v>
      </c>
      <c r="G163" s="8" t="s">
        <v>142</v>
      </c>
      <c r="H163" s="8" t="s">
        <v>52</v>
      </c>
      <c r="I163" s="8"/>
      <c r="J163" s="7"/>
      <c r="K163" s="8" t="s">
        <v>78</v>
      </c>
      <c r="L163" s="8" t="s">
        <v>79</v>
      </c>
      <c r="M163" s="8" t="s">
        <v>84</v>
      </c>
      <c r="N163" s="8">
        <v>29637</v>
      </c>
      <c r="O163" s="13">
        <v>420000</v>
      </c>
      <c r="P163" s="23">
        <v>150000</v>
      </c>
      <c r="Q163" s="7">
        <v>30</v>
      </c>
      <c r="R163" s="8" t="s">
        <v>166</v>
      </c>
      <c r="S163" s="15"/>
    </row>
    <row r="164" spans="1:19" x14ac:dyDescent="0.25">
      <c r="A164" s="10">
        <f t="shared" si="4"/>
        <v>2023</v>
      </c>
      <c r="B164" s="11" t="str">
        <f t="shared" si="5"/>
        <v>September</v>
      </c>
      <c r="C164" s="12">
        <v>45198</v>
      </c>
      <c r="D164" s="8" t="s">
        <v>626</v>
      </c>
      <c r="E164" s="7" cm="1">
        <f t="array" ref="E164">_xlfn.XMATCH(F164&amp;G164&amp;H164, _xlfn.UNIQUE(F$2:F$369 &amp; G$2:G$369 &amp; H$2:H$369))</f>
        <v>64</v>
      </c>
      <c r="F164" s="8" t="s">
        <v>361</v>
      </c>
      <c r="G164" s="8" t="s">
        <v>362</v>
      </c>
      <c r="H164" s="8" t="s">
        <v>196</v>
      </c>
      <c r="I164" s="8"/>
      <c r="J164" s="7"/>
      <c r="K164" s="8" t="s">
        <v>78</v>
      </c>
      <c r="L164" s="8" t="s">
        <v>79</v>
      </c>
      <c r="M164" s="8" t="s">
        <v>84</v>
      </c>
      <c r="N164" s="8">
        <v>29640</v>
      </c>
      <c r="O164" s="13">
        <v>350000</v>
      </c>
      <c r="P164" s="14"/>
      <c r="Q164" s="7" t="s">
        <v>70</v>
      </c>
      <c r="R164" s="8" t="s">
        <v>590</v>
      </c>
      <c r="S164" s="15"/>
    </row>
    <row r="165" spans="1:19" x14ac:dyDescent="0.25">
      <c r="A165" s="10">
        <f t="shared" si="4"/>
        <v>2023</v>
      </c>
      <c r="B165" s="11" t="str">
        <f t="shared" si="5"/>
        <v>October</v>
      </c>
      <c r="C165" s="12">
        <v>45223</v>
      </c>
      <c r="D165" s="8" t="s">
        <v>627</v>
      </c>
      <c r="E165" s="7" cm="1">
        <f t="array" ref="E165">_xlfn.XMATCH(F165&amp;G165&amp;H165, _xlfn.UNIQUE(F$2:F$369 &amp; G$2:G$369 &amp; H$2:H$369))</f>
        <v>98</v>
      </c>
      <c r="F165" s="8" t="s">
        <v>542</v>
      </c>
      <c r="G165" s="8" t="s">
        <v>185</v>
      </c>
      <c r="H165" s="8" t="s">
        <v>37</v>
      </c>
      <c r="I165" s="8" t="s">
        <v>543</v>
      </c>
      <c r="J165" s="7"/>
      <c r="K165" s="8" t="s">
        <v>22</v>
      </c>
      <c r="L165" s="8" t="s">
        <v>134</v>
      </c>
      <c r="M165" s="8" t="s">
        <v>84</v>
      </c>
      <c r="N165" s="8" t="s">
        <v>628</v>
      </c>
      <c r="O165" s="13">
        <v>420000</v>
      </c>
      <c r="P165" s="23">
        <v>228000</v>
      </c>
      <c r="Q165" s="7">
        <v>24</v>
      </c>
      <c r="R165" s="8" t="s">
        <v>280</v>
      </c>
      <c r="S165" s="15"/>
    </row>
    <row r="166" spans="1:19" x14ac:dyDescent="0.25">
      <c r="A166" s="10">
        <f t="shared" si="4"/>
        <v>2023</v>
      </c>
      <c r="B166" s="11" t="str">
        <f t="shared" si="5"/>
        <v>October</v>
      </c>
      <c r="C166" s="12">
        <v>45224</v>
      </c>
      <c r="D166" s="8" t="s">
        <v>629</v>
      </c>
      <c r="E166" s="7" cm="1">
        <f t="array" ref="E166">_xlfn.XMATCH(F166&amp;G166&amp;H166, _xlfn.UNIQUE(F$2:F$369 &amp; G$2:G$369 &amp; H$2:H$369))</f>
        <v>108</v>
      </c>
      <c r="F166" s="8" t="s">
        <v>588</v>
      </c>
      <c r="G166" s="8" t="s">
        <v>296</v>
      </c>
      <c r="H166" s="8" t="s">
        <v>52</v>
      </c>
      <c r="I166" s="8" t="s">
        <v>589</v>
      </c>
      <c r="J166" s="7"/>
      <c r="K166" s="8" t="s">
        <v>22</v>
      </c>
      <c r="L166" s="8" t="s">
        <v>134</v>
      </c>
      <c r="M166" s="8" t="s">
        <v>84</v>
      </c>
      <c r="N166" s="8" t="s">
        <v>630</v>
      </c>
      <c r="O166" s="13">
        <v>450000</v>
      </c>
      <c r="P166" s="23">
        <v>200000</v>
      </c>
      <c r="Q166" s="7">
        <v>36</v>
      </c>
      <c r="R166" s="8" t="s">
        <v>280</v>
      </c>
      <c r="S166" s="15"/>
    </row>
    <row r="167" spans="1:19" x14ac:dyDescent="0.25">
      <c r="A167" s="10">
        <f t="shared" si="4"/>
        <v>2023</v>
      </c>
      <c r="B167" s="11" t="str">
        <f t="shared" si="5"/>
        <v>October</v>
      </c>
      <c r="C167" s="12">
        <v>45225</v>
      </c>
      <c r="D167" s="8" t="s">
        <v>631</v>
      </c>
      <c r="E167" s="7" cm="1">
        <f t="array" ref="E167">_xlfn.XMATCH(F167&amp;G167&amp;H167, _xlfn.UNIQUE(F$2:F$369 &amp; G$2:G$369 &amp; H$2:H$369))</f>
        <v>52</v>
      </c>
      <c r="F167" s="8" t="s">
        <v>292</v>
      </c>
      <c r="G167" s="8" t="s">
        <v>214</v>
      </c>
      <c r="H167" s="8" t="s">
        <v>116</v>
      </c>
      <c r="I167" s="8" t="s">
        <v>440</v>
      </c>
      <c r="J167" s="7"/>
      <c r="K167" s="8" t="s">
        <v>22</v>
      </c>
      <c r="L167" s="8" t="s">
        <v>134</v>
      </c>
      <c r="M167" s="8" t="s">
        <v>239</v>
      </c>
      <c r="N167" s="8" t="s">
        <v>632</v>
      </c>
      <c r="O167" s="13">
        <v>450000</v>
      </c>
      <c r="P167" s="23">
        <v>240000</v>
      </c>
      <c r="Q167" s="7">
        <v>12</v>
      </c>
      <c r="R167" s="8" t="s">
        <v>280</v>
      </c>
      <c r="S167" s="15"/>
    </row>
    <row r="168" spans="1:19" x14ac:dyDescent="0.25">
      <c r="A168" s="10">
        <f t="shared" si="4"/>
        <v>2023</v>
      </c>
      <c r="B168" s="11" t="str">
        <f t="shared" si="5"/>
        <v>November</v>
      </c>
      <c r="C168" s="26">
        <v>45231</v>
      </c>
      <c r="D168" s="8" t="s">
        <v>633</v>
      </c>
      <c r="E168" s="7" cm="1">
        <f t="array" ref="E168">_xlfn.XMATCH(F168&amp;G168&amp;H168, _xlfn.UNIQUE(F$2:F$369 &amp; G$2:G$369 &amp; H$2:H$369))</f>
        <v>115</v>
      </c>
      <c r="F168" s="8" t="s">
        <v>634</v>
      </c>
      <c r="G168" s="8" t="s">
        <v>214</v>
      </c>
      <c r="H168" s="8" t="s">
        <v>116</v>
      </c>
      <c r="I168" s="8" t="s">
        <v>635</v>
      </c>
      <c r="J168" s="27"/>
      <c r="K168" s="9" t="s">
        <v>564</v>
      </c>
      <c r="L168" s="9" t="s">
        <v>565</v>
      </c>
      <c r="M168" s="8" t="s">
        <v>84</v>
      </c>
      <c r="N168" s="9"/>
      <c r="O168" s="7"/>
      <c r="P168" s="9"/>
      <c r="Q168" s="14"/>
      <c r="R168" s="7"/>
      <c r="S168" s="15"/>
    </row>
    <row r="169" spans="1:19" x14ac:dyDescent="0.25">
      <c r="A169" s="10">
        <f t="shared" si="4"/>
        <v>2023</v>
      </c>
      <c r="B169" s="11" t="str">
        <f t="shared" si="5"/>
        <v>November</v>
      </c>
      <c r="C169" s="12">
        <v>45233</v>
      </c>
      <c r="D169" s="8" t="s">
        <v>636</v>
      </c>
      <c r="E169" s="7" cm="1">
        <f t="array" ref="E169">_xlfn.XMATCH(F169&amp;G169&amp;H169, _xlfn.UNIQUE(F$2:F$369 &amp; G$2:G$369 &amp; H$2:H$369))</f>
        <v>116</v>
      </c>
      <c r="F169" s="8" t="s">
        <v>637</v>
      </c>
      <c r="G169" s="8" t="s">
        <v>74</v>
      </c>
      <c r="H169" s="8" t="s">
        <v>75</v>
      </c>
      <c r="I169" s="8" t="s">
        <v>638</v>
      </c>
      <c r="J169" s="7"/>
      <c r="K169" s="8" t="s">
        <v>22</v>
      </c>
      <c r="L169" s="8" t="s">
        <v>134</v>
      </c>
      <c r="M169" s="8" t="s">
        <v>239</v>
      </c>
      <c r="N169" s="8" t="s">
        <v>639</v>
      </c>
      <c r="O169" s="13">
        <v>450000</v>
      </c>
      <c r="P169" s="23">
        <v>150000</v>
      </c>
      <c r="Q169" s="7">
        <v>24</v>
      </c>
      <c r="R169" s="8" t="s">
        <v>280</v>
      </c>
      <c r="S169" s="15"/>
    </row>
    <row r="170" spans="1:19" x14ac:dyDescent="0.25">
      <c r="A170" s="10">
        <f t="shared" si="4"/>
        <v>2023</v>
      </c>
      <c r="B170" s="11" t="str">
        <f t="shared" si="5"/>
        <v>November</v>
      </c>
      <c r="C170" s="12">
        <v>45241</v>
      </c>
      <c r="D170" s="8" t="s">
        <v>640</v>
      </c>
      <c r="E170" s="7" cm="1">
        <f t="array" ref="E170">_xlfn.XMATCH(F170&amp;G170&amp;H170, _xlfn.UNIQUE(F$2:F$369 &amp; G$2:G$369 &amp; H$2:H$369))</f>
        <v>117</v>
      </c>
      <c r="F170" s="8" t="s">
        <v>641</v>
      </c>
      <c r="G170" s="8" t="s">
        <v>642</v>
      </c>
      <c r="H170" s="8" t="s">
        <v>606</v>
      </c>
      <c r="I170" s="8" t="s">
        <v>643</v>
      </c>
      <c r="J170" s="7"/>
      <c r="K170" s="8" t="s">
        <v>22</v>
      </c>
      <c r="L170" s="8" t="s">
        <v>134</v>
      </c>
      <c r="M170" s="8" t="s">
        <v>84</v>
      </c>
      <c r="N170" s="8" t="s">
        <v>644</v>
      </c>
      <c r="O170" s="13">
        <v>450000</v>
      </c>
      <c r="P170" s="23">
        <v>180000</v>
      </c>
      <c r="Q170" s="7"/>
      <c r="R170" s="8" t="s">
        <v>645</v>
      </c>
      <c r="S170" s="15"/>
    </row>
    <row r="171" spans="1:19" x14ac:dyDescent="0.25">
      <c r="A171" s="10">
        <f t="shared" si="4"/>
        <v>2023</v>
      </c>
      <c r="B171" s="11" t="str">
        <f t="shared" si="5"/>
        <v>November</v>
      </c>
      <c r="C171" s="12">
        <v>45253</v>
      </c>
      <c r="D171" s="8" t="s">
        <v>633</v>
      </c>
      <c r="E171" s="7" cm="1">
        <f t="array" ref="E171">_xlfn.XMATCH(F171&amp;G171&amp;H171, _xlfn.UNIQUE(F$2:F$369 &amp; G$2:G$369 &amp; H$2:H$369))</f>
        <v>115</v>
      </c>
      <c r="F171" s="8" t="s">
        <v>634</v>
      </c>
      <c r="G171" s="8" t="s">
        <v>214</v>
      </c>
      <c r="H171" s="8" t="s">
        <v>116</v>
      </c>
      <c r="I171" s="8" t="s">
        <v>635</v>
      </c>
      <c r="J171" s="7"/>
      <c r="K171" s="8" t="s">
        <v>22</v>
      </c>
      <c r="L171" s="8" t="s">
        <v>134</v>
      </c>
      <c r="M171" s="8" t="s">
        <v>84</v>
      </c>
      <c r="N171" s="8" t="s">
        <v>646</v>
      </c>
      <c r="O171" s="13">
        <v>400000</v>
      </c>
      <c r="P171" s="23">
        <v>150000</v>
      </c>
      <c r="Q171" s="7">
        <v>60</v>
      </c>
      <c r="R171" s="8" t="s">
        <v>647</v>
      </c>
      <c r="S171" s="15"/>
    </row>
    <row r="172" spans="1:19" x14ac:dyDescent="0.25">
      <c r="A172" s="10">
        <f t="shared" si="4"/>
        <v>2023</v>
      </c>
      <c r="B172" s="11" t="str">
        <f t="shared" si="5"/>
        <v>November</v>
      </c>
      <c r="C172" s="12">
        <v>45253</v>
      </c>
      <c r="D172" s="8" t="s">
        <v>633</v>
      </c>
      <c r="E172" s="7" cm="1">
        <f t="array" ref="E172">_xlfn.XMATCH(F172&amp;G172&amp;H172, _xlfn.UNIQUE(F$2:F$369 &amp; G$2:G$369 &amp; H$2:H$369))</f>
        <v>115</v>
      </c>
      <c r="F172" s="8" t="s">
        <v>634</v>
      </c>
      <c r="G172" s="8" t="s">
        <v>214</v>
      </c>
      <c r="H172" s="8" t="s">
        <v>116</v>
      </c>
      <c r="I172" s="8" t="s">
        <v>635</v>
      </c>
      <c r="J172" s="7"/>
      <c r="K172" s="8" t="s">
        <v>78</v>
      </c>
      <c r="L172" s="8" t="s">
        <v>79</v>
      </c>
      <c r="M172" s="8" t="s">
        <v>84</v>
      </c>
      <c r="N172" s="8" t="s">
        <v>648</v>
      </c>
      <c r="O172" s="13">
        <v>400000</v>
      </c>
      <c r="P172" s="23">
        <v>150000</v>
      </c>
      <c r="Q172" s="7">
        <v>60</v>
      </c>
      <c r="R172" s="8"/>
      <c r="S172" s="15"/>
    </row>
    <row r="173" spans="1:19" x14ac:dyDescent="0.25">
      <c r="A173" s="10">
        <f t="shared" si="4"/>
        <v>2023</v>
      </c>
      <c r="B173" s="11" t="str">
        <f t="shared" si="5"/>
        <v>November</v>
      </c>
      <c r="C173" s="12">
        <v>45254</v>
      </c>
      <c r="D173" s="8" t="s">
        <v>649</v>
      </c>
      <c r="E173" s="7" cm="1">
        <f t="array" ref="E173">_xlfn.XMATCH(F173&amp;G173&amp;H173, _xlfn.UNIQUE(F$2:F$369 &amp; G$2:G$369 &amp; H$2:H$369))</f>
        <v>118</v>
      </c>
      <c r="F173" s="8" t="s">
        <v>650</v>
      </c>
      <c r="G173" s="8" t="s">
        <v>651</v>
      </c>
      <c r="H173" s="8" t="s">
        <v>64</v>
      </c>
      <c r="I173" s="8" t="s">
        <v>652</v>
      </c>
      <c r="J173" s="7"/>
      <c r="K173" s="8" t="s">
        <v>78</v>
      </c>
      <c r="L173" s="8" t="s">
        <v>79</v>
      </c>
      <c r="M173" s="8" t="s">
        <v>84</v>
      </c>
      <c r="N173" s="8" t="s">
        <v>653</v>
      </c>
      <c r="O173" s="13">
        <v>450000</v>
      </c>
      <c r="P173" s="23">
        <v>100000</v>
      </c>
      <c r="Q173" s="7">
        <v>24</v>
      </c>
      <c r="R173" s="8" t="s">
        <v>654</v>
      </c>
      <c r="S173" s="15"/>
    </row>
    <row r="174" spans="1:19" x14ac:dyDescent="0.25">
      <c r="A174" s="10">
        <f t="shared" si="4"/>
        <v>2023</v>
      </c>
      <c r="B174" s="11" t="str">
        <f t="shared" si="5"/>
        <v>November</v>
      </c>
      <c r="C174" s="12">
        <v>45254</v>
      </c>
      <c r="D174" s="8" t="s">
        <v>649</v>
      </c>
      <c r="E174" s="7" cm="1">
        <f t="array" ref="E174">_xlfn.XMATCH(F174&amp;G174&amp;H174, _xlfn.UNIQUE(F$2:F$369 &amp; G$2:G$369 &amp; H$2:H$369))</f>
        <v>118</v>
      </c>
      <c r="F174" s="8" t="s">
        <v>650</v>
      </c>
      <c r="G174" s="8" t="s">
        <v>651</v>
      </c>
      <c r="H174" s="8" t="s">
        <v>64</v>
      </c>
      <c r="I174" s="8" t="s">
        <v>652</v>
      </c>
      <c r="J174" s="27"/>
      <c r="K174" s="9" t="s">
        <v>564</v>
      </c>
      <c r="L174" s="9" t="s">
        <v>565</v>
      </c>
      <c r="M174" s="8" t="s">
        <v>84</v>
      </c>
      <c r="N174" s="9" t="s">
        <v>655</v>
      </c>
      <c r="O174" s="7"/>
      <c r="P174" s="9"/>
      <c r="Q174" s="14"/>
      <c r="R174" s="7"/>
      <c r="S174" s="15"/>
    </row>
    <row r="175" spans="1:19" x14ac:dyDescent="0.25">
      <c r="A175" s="10">
        <v>2023</v>
      </c>
      <c r="B175" s="11"/>
      <c r="C175" s="12">
        <v>45254</v>
      </c>
      <c r="D175" s="8" t="s">
        <v>656</v>
      </c>
      <c r="E175" s="7" cm="1">
        <f t="array" ref="E175">_xlfn.XMATCH(F175&amp;G175&amp;H175, _xlfn.UNIQUE(F$2:F$369 &amp; G$2:G$369 &amp; H$2:H$369))</f>
        <v>119</v>
      </c>
      <c r="F175" s="8" t="s">
        <v>657</v>
      </c>
      <c r="G175" s="8" t="s">
        <v>658</v>
      </c>
      <c r="H175" s="8" t="s">
        <v>659</v>
      </c>
      <c r="I175" s="8"/>
      <c r="J175" s="27"/>
      <c r="K175" s="9" t="s">
        <v>564</v>
      </c>
      <c r="L175" s="9" t="s">
        <v>565</v>
      </c>
      <c r="M175" s="8" t="s">
        <v>660</v>
      </c>
      <c r="N175" s="9" t="s">
        <v>661</v>
      </c>
      <c r="O175" s="7" t="s">
        <v>662</v>
      </c>
      <c r="P175" s="9"/>
      <c r="Q175" s="14"/>
      <c r="R175" s="7"/>
      <c r="S175" s="15"/>
    </row>
    <row r="176" spans="1:19" x14ac:dyDescent="0.25">
      <c r="A176" s="10">
        <f t="shared" ref="A176:A239" si="6">YEAR($C176)</f>
        <v>2023</v>
      </c>
      <c r="B176" s="11" t="str">
        <f t="shared" ref="B176:B239" si="7">TEXT(C176,"mmmm")</f>
        <v>November</v>
      </c>
      <c r="C176" s="28">
        <v>45254</v>
      </c>
      <c r="D176" s="29" t="s">
        <v>656</v>
      </c>
      <c r="E176" s="7" cm="1">
        <f t="array" ref="E176">_xlfn.XMATCH(F176&amp;G176&amp;H176, _xlfn.UNIQUE(F$2:F$369 &amp; G$2:G$369 &amp; H$2:H$369))</f>
        <v>119</v>
      </c>
      <c r="F176" s="8" t="s">
        <v>657</v>
      </c>
      <c r="G176" s="8" t="s">
        <v>658</v>
      </c>
      <c r="H176" s="8" t="s">
        <v>659</v>
      </c>
      <c r="I176" s="9"/>
      <c r="J176" s="27"/>
      <c r="K176" s="8" t="s">
        <v>78</v>
      </c>
      <c r="L176" s="8" t="s">
        <v>79</v>
      </c>
      <c r="M176" s="8" t="s">
        <v>84</v>
      </c>
      <c r="N176" s="9">
        <v>210467</v>
      </c>
      <c r="O176" s="30">
        <v>450000</v>
      </c>
      <c r="P176" s="6">
        <v>180000</v>
      </c>
      <c r="Q176" s="31" t="s">
        <v>663</v>
      </c>
      <c r="R176" s="7" t="s">
        <v>664</v>
      </c>
      <c r="S176" s="15"/>
    </row>
    <row r="177" spans="1:19" x14ac:dyDescent="0.25">
      <c r="A177" s="10">
        <f t="shared" si="6"/>
        <v>2023</v>
      </c>
      <c r="B177" s="11" t="str">
        <f t="shared" si="7"/>
        <v>November</v>
      </c>
      <c r="C177" s="12">
        <v>45255</v>
      </c>
      <c r="D177" s="8" t="s">
        <v>665</v>
      </c>
      <c r="E177" s="7" cm="1">
        <f t="array" ref="E177">_xlfn.XMATCH(F177&amp;G177&amp;H177, _xlfn.UNIQUE(F$2:F$369 &amp; G$2:G$369 &amp; H$2:H$369))</f>
        <v>78</v>
      </c>
      <c r="F177" s="8" t="s">
        <v>444</v>
      </c>
      <c r="G177" s="8" t="s">
        <v>445</v>
      </c>
      <c r="H177" s="8" t="s">
        <v>46</v>
      </c>
      <c r="I177" s="8" t="s">
        <v>614</v>
      </c>
      <c r="J177" s="7"/>
      <c r="K177" s="8" t="s">
        <v>68</v>
      </c>
      <c r="L177" s="8" t="s">
        <v>350</v>
      </c>
      <c r="M177" s="8"/>
      <c r="N177" s="8" t="s">
        <v>666</v>
      </c>
      <c r="O177" s="13">
        <v>1600000</v>
      </c>
      <c r="P177" s="14"/>
      <c r="Q177" s="7">
        <v>36</v>
      </c>
      <c r="R177" s="8" t="s">
        <v>667</v>
      </c>
      <c r="S177" s="15"/>
    </row>
    <row r="178" spans="1:19" x14ac:dyDescent="0.25">
      <c r="A178" s="10">
        <f t="shared" si="6"/>
        <v>2023</v>
      </c>
      <c r="B178" s="11" t="str">
        <f t="shared" si="7"/>
        <v>November</v>
      </c>
      <c r="C178" s="12">
        <v>45256</v>
      </c>
      <c r="D178" s="8" t="s">
        <v>668</v>
      </c>
      <c r="E178" s="7" cm="1">
        <f t="array" ref="E178">_xlfn.XMATCH(F178&amp;G178&amp;H178, _xlfn.UNIQUE(F$2:F$369 &amp; G$2:G$369 &amp; H$2:H$369))</f>
        <v>6</v>
      </c>
      <c r="F178" s="8" t="s">
        <v>35</v>
      </c>
      <c r="G178" s="8" t="s">
        <v>36</v>
      </c>
      <c r="H178" s="8" t="s">
        <v>37</v>
      </c>
      <c r="I178" s="8" t="s">
        <v>592</v>
      </c>
      <c r="J178" s="7"/>
      <c r="K178" s="8" t="s">
        <v>564</v>
      </c>
      <c r="L178" s="8" t="s">
        <v>565</v>
      </c>
      <c r="M178" s="8" t="s">
        <v>84</v>
      </c>
      <c r="N178" s="8" t="s">
        <v>669</v>
      </c>
      <c r="O178" s="13" t="s">
        <v>662</v>
      </c>
      <c r="P178" s="14"/>
      <c r="Q178" s="7"/>
      <c r="R178" s="8"/>
      <c r="S178" s="15"/>
    </row>
    <row r="179" spans="1:19" x14ac:dyDescent="0.25">
      <c r="A179" s="10">
        <f t="shared" si="6"/>
        <v>2023</v>
      </c>
      <c r="B179" s="11" t="str">
        <f t="shared" si="7"/>
        <v>November</v>
      </c>
      <c r="C179" s="12">
        <v>45256</v>
      </c>
      <c r="D179" s="8" t="s">
        <v>670</v>
      </c>
      <c r="E179" s="7" cm="1">
        <f t="array" ref="E179">_xlfn.XMATCH(F179&amp;G179&amp;H179, _xlfn.UNIQUE(F$2:F$369 &amp; G$2:G$369 &amp; H$2:H$369))</f>
        <v>120</v>
      </c>
      <c r="F179" s="8" t="s">
        <v>383</v>
      </c>
      <c r="G179" s="8" t="s">
        <v>100</v>
      </c>
      <c r="H179" s="8" t="s">
        <v>37</v>
      </c>
      <c r="I179" s="8" t="s">
        <v>671</v>
      </c>
      <c r="J179" s="7"/>
      <c r="K179" s="8" t="s">
        <v>68</v>
      </c>
      <c r="L179" s="8" t="s">
        <v>350</v>
      </c>
      <c r="M179" s="8"/>
      <c r="N179" s="8" t="s">
        <v>672</v>
      </c>
      <c r="O179" s="13">
        <v>1300000</v>
      </c>
      <c r="P179" s="13">
        <v>1300000</v>
      </c>
      <c r="Q179" s="7"/>
      <c r="R179" s="8" t="s">
        <v>667</v>
      </c>
      <c r="S179" s="15"/>
    </row>
    <row r="180" spans="1:19" x14ac:dyDescent="0.25">
      <c r="A180" s="10">
        <f t="shared" si="6"/>
        <v>2023</v>
      </c>
      <c r="B180" s="11" t="str">
        <f t="shared" si="7"/>
        <v>November</v>
      </c>
      <c r="C180" s="12">
        <v>45257</v>
      </c>
      <c r="D180" s="8" t="s">
        <v>673</v>
      </c>
      <c r="E180" s="7" cm="1">
        <f t="array" ref="E180">_xlfn.XMATCH(F180&amp;G180&amp;H180, _xlfn.UNIQUE(F$2:F$369 &amp; G$2:G$369 &amp; H$2:H$369))</f>
        <v>81</v>
      </c>
      <c r="F180" s="8" t="s">
        <v>459</v>
      </c>
      <c r="G180" s="8" t="s">
        <v>460</v>
      </c>
      <c r="H180" s="8" t="s">
        <v>461</v>
      </c>
      <c r="I180" s="8" t="s">
        <v>674</v>
      </c>
      <c r="J180" s="7"/>
      <c r="K180" s="8" t="s">
        <v>91</v>
      </c>
      <c r="L180" s="8" t="s">
        <v>675</v>
      </c>
      <c r="M180" s="8" t="s">
        <v>84</v>
      </c>
      <c r="N180" s="8" t="s">
        <v>676</v>
      </c>
      <c r="O180" s="13">
        <v>235000</v>
      </c>
      <c r="P180" s="6">
        <v>235000</v>
      </c>
      <c r="Q180" s="7" t="s">
        <v>244</v>
      </c>
      <c r="R180" s="8" t="s">
        <v>677</v>
      </c>
      <c r="S180" s="15"/>
    </row>
    <row r="181" spans="1:19" x14ac:dyDescent="0.25">
      <c r="A181" s="10">
        <f t="shared" si="6"/>
        <v>2023</v>
      </c>
      <c r="B181" s="11" t="str">
        <f t="shared" si="7"/>
        <v>November</v>
      </c>
      <c r="C181" s="12">
        <v>45258</v>
      </c>
      <c r="D181" s="8" t="s">
        <v>678</v>
      </c>
      <c r="E181" s="7" cm="1">
        <f t="array" ref="E181">_xlfn.XMATCH(F181&amp;G181&amp;H181, _xlfn.UNIQUE(F$2:F$369 &amp; G$2:G$369 &amp; H$2:H$369))</f>
        <v>111</v>
      </c>
      <c r="F181" s="8" t="s">
        <v>604</v>
      </c>
      <c r="G181" s="8" t="s">
        <v>605</v>
      </c>
      <c r="H181" s="8" t="s">
        <v>606</v>
      </c>
      <c r="I181" s="8" t="s">
        <v>607</v>
      </c>
      <c r="J181" s="7"/>
      <c r="K181" s="8" t="s">
        <v>564</v>
      </c>
      <c r="L181" s="8" t="s">
        <v>565</v>
      </c>
      <c r="M181" s="8" t="s">
        <v>84</v>
      </c>
      <c r="N181" s="8" t="s">
        <v>679</v>
      </c>
      <c r="O181" s="13" t="s">
        <v>662</v>
      </c>
      <c r="P181" s="14"/>
      <c r="Q181" s="7"/>
      <c r="R181" s="8"/>
      <c r="S181" s="15"/>
    </row>
    <row r="182" spans="1:19" x14ac:dyDescent="0.25">
      <c r="A182" s="10">
        <f t="shared" si="6"/>
        <v>2023</v>
      </c>
      <c r="B182" s="11" t="str">
        <f t="shared" si="7"/>
        <v>November</v>
      </c>
      <c r="C182" s="12">
        <v>45259</v>
      </c>
      <c r="D182" s="8" t="s">
        <v>680</v>
      </c>
      <c r="E182" s="7" cm="1">
        <f t="array" ref="E182">_xlfn.XMATCH(F182&amp;G182&amp;H182, _xlfn.UNIQUE(F$2:F$369 &amp; G$2:G$369 &amp; H$2:H$369))</f>
        <v>113</v>
      </c>
      <c r="F182" s="8" t="s">
        <v>617</v>
      </c>
      <c r="G182" s="8" t="s">
        <v>618</v>
      </c>
      <c r="H182" s="8" t="s">
        <v>619</v>
      </c>
      <c r="I182" s="8" t="s">
        <v>681</v>
      </c>
      <c r="J182" s="7"/>
      <c r="K182" s="8" t="s">
        <v>564</v>
      </c>
      <c r="L182" s="8" t="s">
        <v>565</v>
      </c>
      <c r="M182" s="8" t="s">
        <v>84</v>
      </c>
      <c r="N182" s="8" t="s">
        <v>682</v>
      </c>
      <c r="O182" s="13" t="s">
        <v>662</v>
      </c>
      <c r="P182" s="14"/>
      <c r="Q182" s="7"/>
      <c r="R182" s="8"/>
      <c r="S182" s="15"/>
    </row>
    <row r="183" spans="1:19" x14ac:dyDescent="0.25">
      <c r="A183" s="10">
        <f t="shared" si="6"/>
        <v>2023</v>
      </c>
      <c r="B183" s="11" t="str">
        <f t="shared" si="7"/>
        <v>November</v>
      </c>
      <c r="C183" s="12">
        <v>45259</v>
      </c>
      <c r="D183" s="8" t="s">
        <v>683</v>
      </c>
      <c r="E183" s="7" cm="1">
        <f t="array" ref="E183">_xlfn.XMATCH(F183&amp;G183&amp;H183, _xlfn.UNIQUE(F$2:F$369 &amp; G$2:G$369 &amp; H$2:H$369))</f>
        <v>121</v>
      </c>
      <c r="F183" s="8" t="s">
        <v>684</v>
      </c>
      <c r="G183" s="8" t="s">
        <v>97</v>
      </c>
      <c r="H183" s="8" t="s">
        <v>64</v>
      </c>
      <c r="I183" s="8"/>
      <c r="J183" s="7"/>
      <c r="K183" s="8" t="s">
        <v>22</v>
      </c>
      <c r="L183" s="8" t="s">
        <v>134</v>
      </c>
      <c r="M183" s="8" t="s">
        <v>84</v>
      </c>
      <c r="N183" s="8" t="s">
        <v>685</v>
      </c>
      <c r="O183" s="13">
        <v>420000</v>
      </c>
      <c r="P183" s="6">
        <v>100000</v>
      </c>
      <c r="Q183" s="7">
        <v>12</v>
      </c>
      <c r="R183" s="8" t="s">
        <v>280</v>
      </c>
      <c r="S183" s="15"/>
    </row>
    <row r="184" spans="1:19" x14ac:dyDescent="0.25">
      <c r="A184" s="10">
        <f t="shared" si="6"/>
        <v>2023</v>
      </c>
      <c r="B184" s="11" t="str">
        <f t="shared" si="7"/>
        <v>November</v>
      </c>
      <c r="C184" s="12">
        <v>45259</v>
      </c>
      <c r="D184" s="8" t="s">
        <v>686</v>
      </c>
      <c r="E184" s="7" cm="1">
        <f t="array" ref="E184">_xlfn.XMATCH(F184&amp;G184&amp;H184, _xlfn.UNIQUE(F$2:F$369 &amp; G$2:G$369 &amp; H$2:H$369))</f>
        <v>122</v>
      </c>
      <c r="F184" s="8" t="s">
        <v>59</v>
      </c>
      <c r="G184" s="8" t="s">
        <v>687</v>
      </c>
      <c r="H184" s="8" t="s">
        <v>52</v>
      </c>
      <c r="I184" s="8"/>
      <c r="J184" s="7"/>
      <c r="K184" s="8" t="s">
        <v>22</v>
      </c>
      <c r="L184" s="8" t="s">
        <v>134</v>
      </c>
      <c r="M184" s="8" t="s">
        <v>84</v>
      </c>
      <c r="N184" s="8" t="s">
        <v>688</v>
      </c>
      <c r="O184" s="13">
        <v>450000</v>
      </c>
      <c r="P184" s="14"/>
      <c r="Q184" s="7">
        <v>12</v>
      </c>
      <c r="R184" s="8" t="s">
        <v>280</v>
      </c>
      <c r="S184" s="15"/>
    </row>
    <row r="185" spans="1:19" x14ac:dyDescent="0.25">
      <c r="A185" s="10">
        <f t="shared" si="6"/>
        <v>2023</v>
      </c>
      <c r="B185" s="11" t="str">
        <f t="shared" si="7"/>
        <v>December</v>
      </c>
      <c r="C185" s="28">
        <v>45274</v>
      </c>
      <c r="D185" s="29" t="s">
        <v>689</v>
      </c>
      <c r="E185" s="7" cm="1">
        <f t="array" ref="E185">_xlfn.XMATCH(F185&amp;G185&amp;H185, _xlfn.UNIQUE(F$2:F$369 &amp; G$2:G$369 &amp; H$2:H$369))</f>
        <v>46</v>
      </c>
      <c r="F185" s="25" t="s">
        <v>261</v>
      </c>
      <c r="G185" s="25" t="s">
        <v>262</v>
      </c>
      <c r="H185" s="8" t="s">
        <v>255</v>
      </c>
      <c r="I185" s="25" t="s">
        <v>263</v>
      </c>
      <c r="J185" s="7"/>
      <c r="K185" s="25" t="s">
        <v>68</v>
      </c>
      <c r="L185" s="25" t="s">
        <v>350</v>
      </c>
      <c r="M185" s="25" t="s">
        <v>84</v>
      </c>
      <c r="N185" s="25"/>
      <c r="O185" s="32">
        <v>1700000</v>
      </c>
      <c r="P185" s="32">
        <v>700000</v>
      </c>
      <c r="Q185" s="7">
        <v>36</v>
      </c>
      <c r="R185" s="25" t="s">
        <v>690</v>
      </c>
      <c r="S185" s="15"/>
    </row>
    <row r="186" spans="1:19" x14ac:dyDescent="0.25">
      <c r="A186" s="10">
        <f t="shared" si="6"/>
        <v>2023</v>
      </c>
      <c r="B186" s="11" t="str">
        <f t="shared" si="7"/>
        <v>December</v>
      </c>
      <c r="C186" s="12">
        <v>45275</v>
      </c>
      <c r="D186" s="8" t="s">
        <v>691</v>
      </c>
      <c r="E186" s="7" cm="1">
        <f t="array" ref="E186">_xlfn.XMATCH(F186&amp;G186&amp;H186, _xlfn.UNIQUE(F$2:F$369 &amp; G$2:G$369 &amp; H$2:H$369))</f>
        <v>109</v>
      </c>
      <c r="F186" s="8" t="s">
        <v>595</v>
      </c>
      <c r="G186" s="8" t="s">
        <v>337</v>
      </c>
      <c r="H186" s="8" t="s">
        <v>338</v>
      </c>
      <c r="I186" s="8"/>
      <c r="J186" s="7"/>
      <c r="K186" s="8" t="s">
        <v>564</v>
      </c>
      <c r="L186" s="8" t="s">
        <v>565</v>
      </c>
      <c r="M186" s="8" t="s">
        <v>84</v>
      </c>
      <c r="N186" s="8" t="s">
        <v>692</v>
      </c>
      <c r="O186" s="13" t="s">
        <v>662</v>
      </c>
      <c r="P186" s="6"/>
      <c r="Q186" s="7"/>
      <c r="R186" s="8"/>
      <c r="S186" s="15"/>
    </row>
    <row r="187" spans="1:19" x14ac:dyDescent="0.25">
      <c r="A187" s="10">
        <f t="shared" si="6"/>
        <v>2024</v>
      </c>
      <c r="B187" s="11" t="str">
        <f t="shared" si="7"/>
        <v>January</v>
      </c>
      <c r="C187" s="12">
        <v>45299</v>
      </c>
      <c r="D187" s="8" t="s">
        <v>693</v>
      </c>
      <c r="E187" s="7" cm="1">
        <f t="array" ref="E187">_xlfn.XMATCH(F187&amp;G187&amp;H187, _xlfn.UNIQUE(F$2:F$369 &amp; G$2:G$369 &amp; H$2:H$369))</f>
        <v>123</v>
      </c>
      <c r="F187" s="8" t="s">
        <v>694</v>
      </c>
      <c r="G187" s="8" t="s">
        <v>30</v>
      </c>
      <c r="H187" s="8" t="s">
        <v>21</v>
      </c>
      <c r="I187" s="8" t="s">
        <v>695</v>
      </c>
      <c r="J187" s="7"/>
      <c r="K187" s="8" t="s">
        <v>22</v>
      </c>
      <c r="L187" s="8" t="s">
        <v>134</v>
      </c>
      <c r="M187" s="8" t="s">
        <v>84</v>
      </c>
      <c r="N187" s="8" t="s">
        <v>696</v>
      </c>
      <c r="O187" s="13">
        <v>450000</v>
      </c>
      <c r="P187" s="6">
        <v>100000</v>
      </c>
      <c r="Q187" s="7">
        <v>18</v>
      </c>
      <c r="R187" s="8" t="s">
        <v>697</v>
      </c>
      <c r="S187" s="15"/>
    </row>
    <row r="188" spans="1:19" x14ac:dyDescent="0.25">
      <c r="A188" s="33">
        <f t="shared" si="6"/>
        <v>2024</v>
      </c>
      <c r="B188" s="34" t="str">
        <f t="shared" si="7"/>
        <v>January</v>
      </c>
      <c r="C188" s="35">
        <v>45317</v>
      </c>
      <c r="D188" s="36" t="s">
        <v>698</v>
      </c>
      <c r="E188" s="7" cm="1">
        <f t="array" ref="E188">_xlfn.XMATCH(F188&amp;G188&amp;H188, _xlfn.UNIQUE(F$2:F$369 &amp; G$2:G$369 &amp; H$2:H$369))</f>
        <v>124</v>
      </c>
      <c r="F188" s="36" t="s">
        <v>699</v>
      </c>
      <c r="G188" s="36" t="s">
        <v>700</v>
      </c>
      <c r="H188" s="36" t="s">
        <v>600</v>
      </c>
      <c r="I188" s="36" t="s">
        <v>701</v>
      </c>
      <c r="J188" s="7"/>
      <c r="K188" s="36" t="s">
        <v>22</v>
      </c>
      <c r="L188" s="36" t="s">
        <v>134</v>
      </c>
      <c r="M188" s="36" t="s">
        <v>84</v>
      </c>
      <c r="N188" s="36" t="s">
        <v>702</v>
      </c>
      <c r="O188" s="37">
        <v>450000</v>
      </c>
      <c r="P188" s="38">
        <v>100000</v>
      </c>
      <c r="Q188" s="39">
        <v>24</v>
      </c>
      <c r="R188" s="36" t="s">
        <v>280</v>
      </c>
      <c r="S188" s="40" t="s">
        <v>703</v>
      </c>
    </row>
    <row r="189" spans="1:19" x14ac:dyDescent="0.25">
      <c r="A189" s="33">
        <f t="shared" si="6"/>
        <v>2024</v>
      </c>
      <c r="B189" s="34" t="str">
        <f t="shared" si="7"/>
        <v>February</v>
      </c>
      <c r="C189" s="35">
        <v>45327</v>
      </c>
      <c r="D189" s="36" t="s">
        <v>704</v>
      </c>
      <c r="E189" s="7" cm="1">
        <f t="array" ref="E189">_xlfn.XMATCH(F189&amp;G189&amp;H189, _xlfn.UNIQUE(F$2:F$369 &amp; G$2:G$369 &amp; H$2:H$369))</f>
        <v>125</v>
      </c>
      <c r="F189" s="36" t="s">
        <v>705</v>
      </c>
      <c r="G189" s="36" t="s">
        <v>20</v>
      </c>
      <c r="H189" s="36" t="s">
        <v>21</v>
      </c>
      <c r="I189" s="36" t="s">
        <v>706</v>
      </c>
      <c r="J189" s="7"/>
      <c r="K189" s="36" t="s">
        <v>22</v>
      </c>
      <c r="L189" s="36" t="s">
        <v>134</v>
      </c>
      <c r="M189" s="36" t="s">
        <v>84</v>
      </c>
      <c r="N189" s="36" t="s">
        <v>707</v>
      </c>
      <c r="O189" s="37">
        <v>450000</v>
      </c>
      <c r="P189" s="38">
        <v>200000</v>
      </c>
      <c r="Q189" s="39">
        <v>24</v>
      </c>
      <c r="R189" s="36" t="s">
        <v>280</v>
      </c>
      <c r="S189" s="40" t="s">
        <v>703</v>
      </c>
    </row>
    <row r="190" spans="1:19" x14ac:dyDescent="0.25">
      <c r="A190" s="10">
        <f t="shared" si="6"/>
        <v>2024</v>
      </c>
      <c r="B190" s="11" t="str">
        <f t="shared" si="7"/>
        <v>February</v>
      </c>
      <c r="C190" s="12">
        <v>45328</v>
      </c>
      <c r="D190" s="8" t="s">
        <v>708</v>
      </c>
      <c r="E190" s="7" cm="1">
        <f t="array" ref="E190">_xlfn.XMATCH(F190&amp;G190&amp;H190, _xlfn.UNIQUE(F$2:F$369 &amp; G$2:G$369 &amp; H$2:H$369))</f>
        <v>43</v>
      </c>
      <c r="F190" s="8" t="s">
        <v>248</v>
      </c>
      <c r="G190" s="8" t="s">
        <v>249</v>
      </c>
      <c r="H190" s="8" t="s">
        <v>46</v>
      </c>
      <c r="I190" s="8" t="s">
        <v>394</v>
      </c>
      <c r="J190" s="7"/>
      <c r="K190" s="8" t="s">
        <v>78</v>
      </c>
      <c r="L190" s="8" t="s">
        <v>79</v>
      </c>
      <c r="M190" s="8" t="s">
        <v>84</v>
      </c>
      <c r="N190" s="8">
        <v>210472</v>
      </c>
      <c r="O190" s="13">
        <v>430000</v>
      </c>
      <c r="P190" s="6">
        <v>100000</v>
      </c>
      <c r="Q190" s="7">
        <v>24</v>
      </c>
      <c r="R190" s="8" t="s">
        <v>155</v>
      </c>
      <c r="S190" s="15"/>
    </row>
    <row r="191" spans="1:19" x14ac:dyDescent="0.25">
      <c r="A191" s="10">
        <f t="shared" si="6"/>
        <v>2024</v>
      </c>
      <c r="B191" s="11" t="str">
        <f t="shared" si="7"/>
        <v>February</v>
      </c>
      <c r="C191" s="12">
        <v>45335</v>
      </c>
      <c r="D191" s="8" t="s">
        <v>709</v>
      </c>
      <c r="E191" s="7" cm="1">
        <f t="array" ref="E191">_xlfn.XMATCH(F191&amp;G191&amp;H191, _xlfn.UNIQUE(F$2:F$369 &amp; G$2:G$369 &amp; H$2:H$369))</f>
        <v>108</v>
      </c>
      <c r="F191" s="8" t="s">
        <v>588</v>
      </c>
      <c r="G191" s="8" t="s">
        <v>296</v>
      </c>
      <c r="H191" s="8" t="s">
        <v>52</v>
      </c>
      <c r="I191" s="8" t="s">
        <v>589</v>
      </c>
      <c r="J191" s="7"/>
      <c r="K191" s="8" t="s">
        <v>564</v>
      </c>
      <c r="L191" s="8" t="s">
        <v>565</v>
      </c>
      <c r="M191" s="8" t="s">
        <v>84</v>
      </c>
      <c r="N191" s="8" t="s">
        <v>710</v>
      </c>
      <c r="O191" s="13" t="s">
        <v>662</v>
      </c>
      <c r="P191" s="6"/>
      <c r="Q191" s="7"/>
      <c r="R191" s="8"/>
      <c r="S191" s="15"/>
    </row>
    <row r="192" spans="1:19" x14ac:dyDescent="0.25">
      <c r="A192" s="10">
        <f t="shared" si="6"/>
        <v>2024</v>
      </c>
      <c r="B192" s="11" t="str">
        <f t="shared" si="7"/>
        <v>February</v>
      </c>
      <c r="C192" s="12">
        <v>45335</v>
      </c>
      <c r="D192" s="8" t="s">
        <v>709</v>
      </c>
      <c r="E192" s="7" cm="1">
        <f t="array" ref="E192">_xlfn.XMATCH(F192&amp;G192&amp;H192, _xlfn.UNIQUE(F$2:F$369 &amp; G$2:G$369 &amp; H$2:H$369))</f>
        <v>108</v>
      </c>
      <c r="F192" s="8" t="s">
        <v>588</v>
      </c>
      <c r="G192" s="8" t="s">
        <v>296</v>
      </c>
      <c r="H192" s="8" t="s">
        <v>52</v>
      </c>
      <c r="I192" s="8" t="s">
        <v>589</v>
      </c>
      <c r="J192" s="7"/>
      <c r="K192" s="8" t="s">
        <v>564</v>
      </c>
      <c r="L192" s="8" t="s">
        <v>565</v>
      </c>
      <c r="M192" s="8" t="s">
        <v>84</v>
      </c>
      <c r="N192" s="8" t="s">
        <v>711</v>
      </c>
      <c r="O192" s="13" t="s">
        <v>662</v>
      </c>
      <c r="P192" s="6"/>
      <c r="Q192" s="7"/>
      <c r="R192" s="8"/>
      <c r="S192" s="15"/>
    </row>
    <row r="193" spans="1:19" x14ac:dyDescent="0.25">
      <c r="A193" s="10">
        <f t="shared" si="6"/>
        <v>2024</v>
      </c>
      <c r="B193" s="11" t="str">
        <f t="shared" si="7"/>
        <v>February</v>
      </c>
      <c r="C193" s="12">
        <v>45335</v>
      </c>
      <c r="D193" s="8" t="s">
        <v>712</v>
      </c>
      <c r="E193" s="7" cm="1">
        <f t="array" ref="E193">_xlfn.XMATCH(F193&amp;G193&amp;H193, _xlfn.UNIQUE(F$2:F$369 &amp; G$2:G$369 &amp; H$2:H$369))</f>
        <v>126</v>
      </c>
      <c r="F193" s="8" t="s">
        <v>713</v>
      </c>
      <c r="G193" s="8" t="s">
        <v>714</v>
      </c>
      <c r="H193" s="8" t="s">
        <v>52</v>
      </c>
      <c r="I193" s="8" t="s">
        <v>715</v>
      </c>
      <c r="J193" s="7"/>
      <c r="K193" s="8" t="s">
        <v>22</v>
      </c>
      <c r="L193" s="8" t="s">
        <v>134</v>
      </c>
      <c r="M193" s="8" t="s">
        <v>84</v>
      </c>
      <c r="N193" s="8" t="s">
        <v>716</v>
      </c>
      <c r="O193" s="13">
        <v>450000</v>
      </c>
      <c r="P193" s="6">
        <v>100000</v>
      </c>
      <c r="Q193" s="7">
        <v>24</v>
      </c>
      <c r="R193" s="8" t="s">
        <v>280</v>
      </c>
      <c r="S193" s="15"/>
    </row>
    <row r="194" spans="1:19" x14ac:dyDescent="0.25">
      <c r="A194" s="10">
        <f t="shared" si="6"/>
        <v>2024</v>
      </c>
      <c r="B194" s="11" t="str">
        <f t="shared" si="7"/>
        <v>February</v>
      </c>
      <c r="C194" s="12">
        <v>45336</v>
      </c>
      <c r="D194" s="8" t="s">
        <v>717</v>
      </c>
      <c r="E194" s="7" cm="1">
        <f t="array" ref="E194">_xlfn.XMATCH(F194&amp;G194&amp;H194, _xlfn.UNIQUE(F$2:F$369 &amp; G$2:G$369 &amp; H$2:H$369))</f>
        <v>127</v>
      </c>
      <c r="F194" s="8" t="s">
        <v>718</v>
      </c>
      <c r="G194" s="8" t="s">
        <v>719</v>
      </c>
      <c r="H194" s="8" t="s">
        <v>52</v>
      </c>
      <c r="I194" s="8" t="s">
        <v>408</v>
      </c>
      <c r="J194" s="7"/>
      <c r="K194" s="8" t="s">
        <v>22</v>
      </c>
      <c r="L194" s="8" t="s">
        <v>134</v>
      </c>
      <c r="M194" s="8" t="s">
        <v>84</v>
      </c>
      <c r="N194" s="8" t="s">
        <v>720</v>
      </c>
      <c r="O194" s="13">
        <v>400000</v>
      </c>
      <c r="P194" s="6" t="s">
        <v>70</v>
      </c>
      <c r="Q194" s="7"/>
      <c r="R194" s="8" t="s">
        <v>280</v>
      </c>
      <c r="S194" s="15"/>
    </row>
    <row r="195" spans="1:19" x14ac:dyDescent="0.25">
      <c r="A195" s="10">
        <f t="shared" si="6"/>
        <v>2024</v>
      </c>
      <c r="B195" s="11" t="str">
        <f t="shared" si="7"/>
        <v>February</v>
      </c>
      <c r="C195" s="12">
        <v>45336</v>
      </c>
      <c r="D195" s="8" t="s">
        <v>717</v>
      </c>
      <c r="E195" s="7" cm="1">
        <f t="array" ref="E195">_xlfn.XMATCH(F195&amp;G195&amp;H195, _xlfn.UNIQUE(F$2:F$369 &amp; G$2:G$369 &amp; H$2:H$369))</f>
        <v>127</v>
      </c>
      <c r="F195" s="8" t="s">
        <v>718</v>
      </c>
      <c r="G195" s="8" t="s">
        <v>719</v>
      </c>
      <c r="H195" s="8" t="s">
        <v>52</v>
      </c>
      <c r="I195" s="8" t="s">
        <v>408</v>
      </c>
      <c r="J195" s="7"/>
      <c r="K195" s="8" t="s">
        <v>78</v>
      </c>
      <c r="L195" s="8" t="s">
        <v>79</v>
      </c>
      <c r="M195" s="8" t="s">
        <v>84</v>
      </c>
      <c r="N195" s="8">
        <v>210481</v>
      </c>
      <c r="O195" s="13">
        <v>400000</v>
      </c>
      <c r="P195" s="6">
        <v>100000</v>
      </c>
      <c r="Q195" s="7">
        <v>12</v>
      </c>
      <c r="R195" s="8" t="s">
        <v>155</v>
      </c>
      <c r="S195" s="15"/>
    </row>
    <row r="196" spans="1:19" x14ac:dyDescent="0.25">
      <c r="A196" s="10">
        <f t="shared" si="6"/>
        <v>2024</v>
      </c>
      <c r="B196" s="11" t="str">
        <f t="shared" si="7"/>
        <v>February</v>
      </c>
      <c r="C196" s="12">
        <v>45342</v>
      </c>
      <c r="D196" s="8" t="s">
        <v>721</v>
      </c>
      <c r="E196" s="7" cm="1">
        <f t="array" ref="E196">_xlfn.XMATCH(F196&amp;G196&amp;H196, _xlfn.UNIQUE(F$2:F$369 &amp; G$2:G$369 &amp; H$2:H$369))</f>
        <v>9</v>
      </c>
      <c r="F196" s="8" t="s">
        <v>48</v>
      </c>
      <c r="G196" s="8" t="s">
        <v>26</v>
      </c>
      <c r="H196" s="8" t="s">
        <v>27</v>
      </c>
      <c r="I196" s="8" t="s">
        <v>722</v>
      </c>
      <c r="J196" s="7"/>
      <c r="K196" s="8" t="s">
        <v>68</v>
      </c>
      <c r="L196" s="8" t="s">
        <v>350</v>
      </c>
      <c r="M196" s="8" t="s">
        <v>84</v>
      </c>
      <c r="N196" s="8"/>
      <c r="O196" s="13">
        <v>1800000</v>
      </c>
      <c r="P196" s="6">
        <v>700000</v>
      </c>
      <c r="Q196" s="7">
        <v>60</v>
      </c>
      <c r="R196" s="25" t="s">
        <v>690</v>
      </c>
      <c r="S196" s="15"/>
    </row>
    <row r="197" spans="1:19" x14ac:dyDescent="0.25">
      <c r="A197" s="33">
        <f t="shared" si="6"/>
        <v>2024</v>
      </c>
      <c r="B197" s="34" t="str">
        <f t="shared" si="7"/>
        <v>February</v>
      </c>
      <c r="C197" s="35">
        <v>45349</v>
      </c>
      <c r="D197" s="36" t="s">
        <v>723</v>
      </c>
      <c r="E197" s="7" cm="1">
        <f t="array" ref="E197">_xlfn.XMATCH(F197&amp;G197&amp;H197, _xlfn.UNIQUE(F$2:F$369 &amp; G$2:G$369 &amp; H$2:H$369))</f>
        <v>124</v>
      </c>
      <c r="F197" s="36" t="s">
        <v>699</v>
      </c>
      <c r="G197" s="36" t="s">
        <v>700</v>
      </c>
      <c r="H197" s="36" t="s">
        <v>600</v>
      </c>
      <c r="I197" s="36" t="s">
        <v>701</v>
      </c>
      <c r="J197" s="7" t="s">
        <v>724</v>
      </c>
      <c r="K197" s="36" t="s">
        <v>78</v>
      </c>
      <c r="L197" s="36" t="s">
        <v>79</v>
      </c>
      <c r="M197" s="36" t="s">
        <v>84</v>
      </c>
      <c r="N197" s="36">
        <v>210470</v>
      </c>
      <c r="O197" s="37">
        <v>430000</v>
      </c>
      <c r="P197" s="38">
        <v>100000</v>
      </c>
      <c r="Q197" s="39">
        <v>24</v>
      </c>
      <c r="R197" s="36" t="s">
        <v>155</v>
      </c>
      <c r="S197" s="40" t="s">
        <v>703</v>
      </c>
    </row>
    <row r="198" spans="1:19" x14ac:dyDescent="0.25">
      <c r="A198" s="33">
        <f t="shared" si="6"/>
        <v>2024</v>
      </c>
      <c r="B198" s="34" t="str">
        <f t="shared" si="7"/>
        <v>February</v>
      </c>
      <c r="C198" s="35">
        <v>45349</v>
      </c>
      <c r="D198" s="36" t="s">
        <v>723</v>
      </c>
      <c r="E198" s="7" cm="1">
        <f t="array" ref="E198">_xlfn.XMATCH(F198&amp;G198&amp;H198, _xlfn.UNIQUE(F$2:F$369 &amp; G$2:G$369 &amp; H$2:H$369))</f>
        <v>124</v>
      </c>
      <c r="F198" s="36" t="s">
        <v>699</v>
      </c>
      <c r="G198" s="36" t="s">
        <v>700</v>
      </c>
      <c r="H198" s="36" t="s">
        <v>600</v>
      </c>
      <c r="I198" s="36" t="s">
        <v>701</v>
      </c>
      <c r="J198" s="7"/>
      <c r="K198" s="36" t="s">
        <v>91</v>
      </c>
      <c r="L198" s="36" t="s">
        <v>675</v>
      </c>
      <c r="M198" s="36" t="s">
        <v>84</v>
      </c>
      <c r="N198" s="36" t="s">
        <v>725</v>
      </c>
      <c r="O198" s="37">
        <v>380000</v>
      </c>
      <c r="P198" s="38">
        <v>100000</v>
      </c>
      <c r="Q198" s="39">
        <v>24</v>
      </c>
      <c r="R198" s="36" t="s">
        <v>726</v>
      </c>
      <c r="S198" s="40" t="s">
        <v>703</v>
      </c>
    </row>
    <row r="199" spans="1:19" x14ac:dyDescent="0.25">
      <c r="A199" s="10">
        <f t="shared" si="6"/>
        <v>2024</v>
      </c>
      <c r="B199" s="11" t="str">
        <f t="shared" si="7"/>
        <v>March</v>
      </c>
      <c r="C199" s="12">
        <v>45356</v>
      </c>
      <c r="D199" s="8" t="s">
        <v>727</v>
      </c>
      <c r="E199" s="7" cm="1">
        <f t="array" ref="E199">_xlfn.XMATCH(F199&amp;G199&amp;H199, _xlfn.UNIQUE(F$2:F$369 &amp; G$2:G$369 &amp; H$2:H$369))</f>
        <v>98</v>
      </c>
      <c r="F199" s="8" t="s">
        <v>542</v>
      </c>
      <c r="G199" s="8" t="s">
        <v>185</v>
      </c>
      <c r="H199" s="8" t="s">
        <v>37</v>
      </c>
      <c r="I199" s="8" t="s">
        <v>543</v>
      </c>
      <c r="J199" s="7"/>
      <c r="K199" s="8" t="s">
        <v>564</v>
      </c>
      <c r="L199" s="8" t="s">
        <v>565</v>
      </c>
      <c r="M199" s="8" t="s">
        <v>84</v>
      </c>
      <c r="N199" s="8" t="s">
        <v>728</v>
      </c>
      <c r="O199" s="13" t="s">
        <v>662</v>
      </c>
      <c r="P199" s="6"/>
      <c r="Q199" s="7"/>
      <c r="R199" s="8"/>
      <c r="S199" s="15"/>
    </row>
    <row r="200" spans="1:19" x14ac:dyDescent="0.25">
      <c r="A200" s="10">
        <f t="shared" si="6"/>
        <v>2024</v>
      </c>
      <c r="B200" s="11" t="str">
        <f t="shared" si="7"/>
        <v>March</v>
      </c>
      <c r="C200" s="12">
        <v>45358</v>
      </c>
      <c r="D200" s="8" t="s">
        <v>729</v>
      </c>
      <c r="E200" s="7" cm="1">
        <f t="array" ref="E200">_xlfn.XMATCH(F200&amp;G200&amp;H200, _xlfn.UNIQUE(F$2:F$369 &amp; G$2:G$369 &amp; H$2:H$369))</f>
        <v>112</v>
      </c>
      <c r="F200" s="8" t="s">
        <v>610</v>
      </c>
      <c r="G200" s="8" t="s">
        <v>611</v>
      </c>
      <c r="H200" s="8" t="s">
        <v>255</v>
      </c>
      <c r="I200" s="8"/>
      <c r="J200" s="7"/>
      <c r="K200" s="8" t="s">
        <v>564</v>
      </c>
      <c r="L200" s="8" t="s">
        <v>565</v>
      </c>
      <c r="M200" s="8" t="s">
        <v>84</v>
      </c>
      <c r="N200" s="8" t="s">
        <v>730</v>
      </c>
      <c r="O200" s="13" t="s">
        <v>662</v>
      </c>
      <c r="P200" s="6"/>
      <c r="Q200" s="7"/>
      <c r="R200" s="8"/>
      <c r="S200" s="15"/>
    </row>
    <row r="201" spans="1:19" x14ac:dyDescent="0.25">
      <c r="A201" s="10">
        <f t="shared" si="6"/>
        <v>2024</v>
      </c>
      <c r="B201" s="11" t="str">
        <f t="shared" si="7"/>
        <v>March</v>
      </c>
      <c r="C201" s="12">
        <v>45362</v>
      </c>
      <c r="D201" s="8" t="s">
        <v>731</v>
      </c>
      <c r="E201" s="7" cm="1">
        <f t="array" ref="E201">_xlfn.XMATCH(F201&amp;G201&amp;H201, _xlfn.UNIQUE(F$2:F$369 &amp; G$2:G$369 &amp; H$2:H$369))</f>
        <v>128</v>
      </c>
      <c r="F201" s="8" t="s">
        <v>732</v>
      </c>
      <c r="G201" s="8" t="s">
        <v>173</v>
      </c>
      <c r="H201" s="8" t="s">
        <v>21</v>
      </c>
      <c r="I201" s="8" t="s">
        <v>733</v>
      </c>
      <c r="J201" s="7"/>
      <c r="K201" s="8" t="s">
        <v>22</v>
      </c>
      <c r="L201" s="8" t="s">
        <v>134</v>
      </c>
      <c r="M201" s="8" t="s">
        <v>84</v>
      </c>
      <c r="N201" s="8" t="s">
        <v>734</v>
      </c>
      <c r="O201" s="13">
        <v>390000</v>
      </c>
      <c r="P201" s="6"/>
      <c r="Q201" s="7">
        <v>6</v>
      </c>
      <c r="R201" s="8" t="s">
        <v>280</v>
      </c>
      <c r="S201" s="15"/>
    </row>
    <row r="202" spans="1:19" x14ac:dyDescent="0.25">
      <c r="A202" s="10">
        <f t="shared" si="6"/>
        <v>2024</v>
      </c>
      <c r="B202" s="11" t="str">
        <f t="shared" si="7"/>
        <v>March</v>
      </c>
      <c r="C202" s="12">
        <v>45378</v>
      </c>
      <c r="D202" s="8" t="s">
        <v>735</v>
      </c>
      <c r="E202" s="7" cm="1">
        <f t="array" ref="E202">_xlfn.XMATCH(F202&amp;G202&amp;H202, _xlfn.UNIQUE(F$2:F$369 &amp; G$2:G$369 &amp; H$2:H$369))</f>
        <v>102</v>
      </c>
      <c r="F202" s="8" t="s">
        <v>560</v>
      </c>
      <c r="G202" s="8" t="s">
        <v>561</v>
      </c>
      <c r="H202" s="8" t="s">
        <v>21</v>
      </c>
      <c r="I202" s="8" t="s">
        <v>695</v>
      </c>
      <c r="J202" s="7"/>
      <c r="K202" s="8" t="s">
        <v>78</v>
      </c>
      <c r="L202" s="8" t="s">
        <v>79</v>
      </c>
      <c r="M202" s="8" t="s">
        <v>84</v>
      </c>
      <c r="N202" s="8">
        <v>210491</v>
      </c>
      <c r="O202" s="13">
        <v>450000</v>
      </c>
      <c r="P202" s="6"/>
      <c r="Q202" s="7">
        <v>24</v>
      </c>
      <c r="R202" s="8" t="s">
        <v>155</v>
      </c>
      <c r="S202" s="15"/>
    </row>
    <row r="203" spans="1:19" x14ac:dyDescent="0.25">
      <c r="A203" s="10">
        <f t="shared" si="6"/>
        <v>2024</v>
      </c>
      <c r="B203" s="11" t="str">
        <f t="shared" si="7"/>
        <v>April</v>
      </c>
      <c r="C203" s="12">
        <v>45384</v>
      </c>
      <c r="D203" s="8" t="s">
        <v>736</v>
      </c>
      <c r="E203" s="7" cm="1">
        <f t="array" ref="E203">_xlfn.XMATCH(F203&amp;G203&amp;H203, _xlfn.UNIQUE(F$2:F$369 &amp; G$2:G$369 &amp; H$2:H$369))</f>
        <v>33</v>
      </c>
      <c r="F203" s="8" t="s">
        <v>201</v>
      </c>
      <c r="G203" s="8" t="s">
        <v>202</v>
      </c>
      <c r="H203" s="8" t="s">
        <v>21</v>
      </c>
      <c r="I203" s="8" t="s">
        <v>737</v>
      </c>
      <c r="J203" s="7"/>
      <c r="K203" s="8" t="s">
        <v>78</v>
      </c>
      <c r="L203" s="8" t="s">
        <v>79</v>
      </c>
      <c r="M203" s="8" t="s">
        <v>84</v>
      </c>
      <c r="N203" s="8">
        <v>210505</v>
      </c>
      <c r="O203" s="13">
        <v>450000</v>
      </c>
      <c r="P203" s="6">
        <v>50000</v>
      </c>
      <c r="Q203" s="7">
        <v>18</v>
      </c>
      <c r="R203" s="8" t="s">
        <v>155</v>
      </c>
      <c r="S203" s="15"/>
    </row>
    <row r="204" spans="1:19" x14ac:dyDescent="0.25">
      <c r="A204" s="10">
        <f t="shared" si="6"/>
        <v>2024</v>
      </c>
      <c r="B204" s="11" t="str">
        <f t="shared" si="7"/>
        <v>April</v>
      </c>
      <c r="C204" s="12">
        <v>45393</v>
      </c>
      <c r="D204" s="8" t="s">
        <v>738</v>
      </c>
      <c r="E204" s="7" cm="1">
        <f t="array" ref="E204">_xlfn.XMATCH(F204&amp;G204&amp;H204, _xlfn.UNIQUE(F$2:F$369 &amp; G$2:G$369 &amp; H$2:H$369))</f>
        <v>129</v>
      </c>
      <c r="F204" s="8" t="s">
        <v>739</v>
      </c>
      <c r="G204" s="8" t="s">
        <v>63</v>
      </c>
      <c r="H204" s="8" t="s">
        <v>196</v>
      </c>
      <c r="I204" s="8" t="s">
        <v>740</v>
      </c>
      <c r="J204" s="7"/>
      <c r="K204" s="8" t="s">
        <v>22</v>
      </c>
      <c r="L204" s="8" t="s">
        <v>134</v>
      </c>
      <c r="M204" s="8" t="s">
        <v>84</v>
      </c>
      <c r="N204" s="16" t="s">
        <v>741</v>
      </c>
      <c r="O204" s="13">
        <v>400000</v>
      </c>
      <c r="P204" s="6">
        <v>100000</v>
      </c>
      <c r="Q204" s="7">
        <v>24</v>
      </c>
      <c r="R204" s="8" t="s">
        <v>280</v>
      </c>
      <c r="S204" s="15"/>
    </row>
    <row r="205" spans="1:19" x14ac:dyDescent="0.25">
      <c r="A205" s="10">
        <f t="shared" si="6"/>
        <v>2024</v>
      </c>
      <c r="B205" s="11" t="str">
        <f t="shared" si="7"/>
        <v>April</v>
      </c>
      <c r="C205" s="12">
        <v>45394</v>
      </c>
      <c r="D205" s="8" t="s">
        <v>742</v>
      </c>
      <c r="E205" s="7" cm="1">
        <f t="array" ref="E205">_xlfn.XMATCH(F205&amp;G205&amp;H205, _xlfn.UNIQUE(F$2:F$369 &amp; G$2:G$369 &amp; H$2:H$369))</f>
        <v>130</v>
      </c>
      <c r="F205" s="8" t="s">
        <v>304</v>
      </c>
      <c r="G205" s="8" t="s">
        <v>743</v>
      </c>
      <c r="H205" s="8" t="s">
        <v>227</v>
      </c>
      <c r="I205" s="8" t="s">
        <v>744</v>
      </c>
      <c r="J205" s="7"/>
      <c r="K205" s="8" t="s">
        <v>22</v>
      </c>
      <c r="L205" s="8" t="s">
        <v>134</v>
      </c>
      <c r="M205" s="8" t="s">
        <v>84</v>
      </c>
      <c r="N205" s="8" t="s">
        <v>745</v>
      </c>
      <c r="O205" s="13">
        <v>450000</v>
      </c>
      <c r="P205" s="6">
        <v>240000</v>
      </c>
      <c r="Q205" s="7">
        <v>24</v>
      </c>
      <c r="R205" s="8" t="s">
        <v>280</v>
      </c>
      <c r="S205" s="15"/>
    </row>
    <row r="206" spans="1:19" x14ac:dyDescent="0.25">
      <c r="A206" s="10">
        <f t="shared" si="6"/>
        <v>2024</v>
      </c>
      <c r="B206" s="11" t="str">
        <f t="shared" si="7"/>
        <v>April</v>
      </c>
      <c r="C206" s="12">
        <v>45401</v>
      </c>
      <c r="D206" s="8" t="s">
        <v>746</v>
      </c>
      <c r="E206" s="7" cm="1">
        <f t="array" ref="E206">_xlfn.XMATCH(F206&amp;G206&amp;H206, _xlfn.UNIQUE(F$2:F$369 &amp; G$2:G$369 &amp; H$2:H$369))</f>
        <v>67</v>
      </c>
      <c r="F206" s="8" t="s">
        <v>380</v>
      </c>
      <c r="G206" s="8" t="s">
        <v>376</v>
      </c>
      <c r="H206" s="8" t="s">
        <v>64</v>
      </c>
      <c r="I206" s="8"/>
      <c r="J206" s="7"/>
      <c r="K206" s="8" t="s">
        <v>78</v>
      </c>
      <c r="L206" s="8" t="s">
        <v>79</v>
      </c>
      <c r="M206" s="8" t="s">
        <v>84</v>
      </c>
      <c r="N206" s="8">
        <v>210507</v>
      </c>
      <c r="O206" s="13">
        <v>430000</v>
      </c>
      <c r="P206" s="6">
        <v>172000</v>
      </c>
      <c r="Q206" s="7">
        <v>24</v>
      </c>
      <c r="R206" s="8" t="s">
        <v>590</v>
      </c>
      <c r="S206" s="15"/>
    </row>
    <row r="207" spans="1:19" x14ac:dyDescent="0.25">
      <c r="A207" s="33">
        <f t="shared" si="6"/>
        <v>2024</v>
      </c>
      <c r="B207" s="34" t="str">
        <f t="shared" si="7"/>
        <v>April</v>
      </c>
      <c r="C207" s="35">
        <v>45404</v>
      </c>
      <c r="D207" s="36" t="s">
        <v>747</v>
      </c>
      <c r="E207" s="7" cm="1">
        <f t="array" ref="E207">_xlfn.XMATCH(F207&amp;G207&amp;H207, _xlfn.UNIQUE(F$2:F$369 &amp; G$2:G$369 &amp; H$2:H$369))</f>
        <v>125</v>
      </c>
      <c r="F207" s="36" t="s">
        <v>705</v>
      </c>
      <c r="G207" s="36" t="s">
        <v>20</v>
      </c>
      <c r="H207" s="36" t="s">
        <v>21</v>
      </c>
      <c r="I207" s="36" t="s">
        <v>748</v>
      </c>
      <c r="J207" s="7"/>
      <c r="K207" s="36" t="s">
        <v>78</v>
      </c>
      <c r="L207" s="36" t="s">
        <v>79</v>
      </c>
      <c r="M207" s="36" t="s">
        <v>84</v>
      </c>
      <c r="N207" s="36">
        <v>210506</v>
      </c>
      <c r="O207" s="37">
        <v>450000</v>
      </c>
      <c r="P207" s="38"/>
      <c r="Q207" s="39">
        <v>24</v>
      </c>
      <c r="R207" s="36" t="s">
        <v>749</v>
      </c>
      <c r="S207" s="40" t="s">
        <v>703</v>
      </c>
    </row>
    <row r="208" spans="1:19" x14ac:dyDescent="0.25">
      <c r="A208" s="10">
        <f t="shared" si="6"/>
        <v>2024</v>
      </c>
      <c r="B208" s="11" t="str">
        <f t="shared" si="7"/>
        <v>April</v>
      </c>
      <c r="C208" s="12">
        <v>45408</v>
      </c>
      <c r="D208" s="8" t="s">
        <v>750</v>
      </c>
      <c r="E208" s="7" cm="1">
        <f t="array" ref="E208">_xlfn.XMATCH(F208&amp;G208&amp;H208, _xlfn.UNIQUE(F$2:F$369 &amp; G$2:G$369 &amp; H$2:H$369))</f>
        <v>131</v>
      </c>
      <c r="F208" s="8" t="s">
        <v>751</v>
      </c>
      <c r="G208" s="8" t="s">
        <v>752</v>
      </c>
      <c r="H208" s="8" t="s">
        <v>500</v>
      </c>
      <c r="I208" s="8"/>
      <c r="J208" s="7"/>
      <c r="K208" s="8" t="s">
        <v>68</v>
      </c>
      <c r="L208" s="8" t="s">
        <v>350</v>
      </c>
      <c r="M208" s="8" t="s">
        <v>84</v>
      </c>
      <c r="N208" s="8" t="s">
        <v>753</v>
      </c>
      <c r="O208" s="13">
        <v>1600000</v>
      </c>
      <c r="P208" s="6">
        <v>350000</v>
      </c>
      <c r="Q208" s="7">
        <v>60</v>
      </c>
      <c r="R208" s="8" t="s">
        <v>754</v>
      </c>
      <c r="S208" s="15"/>
    </row>
    <row r="209" spans="1:19" x14ac:dyDescent="0.25">
      <c r="A209" s="10">
        <f t="shared" si="6"/>
        <v>2024</v>
      </c>
      <c r="B209" s="11" t="str">
        <f t="shared" si="7"/>
        <v>April</v>
      </c>
      <c r="C209" s="12">
        <v>45412</v>
      </c>
      <c r="D209" s="8" t="s">
        <v>755</v>
      </c>
      <c r="E209" s="7" cm="1">
        <f t="array" ref="E209">_xlfn.XMATCH(F209&amp;G209&amp;H209, _xlfn.UNIQUE(F$2:F$369 &amp; G$2:G$369 &amp; H$2:H$369))</f>
        <v>132</v>
      </c>
      <c r="F209" s="8" t="s">
        <v>756</v>
      </c>
      <c r="G209" s="8" t="s">
        <v>214</v>
      </c>
      <c r="H209" s="8" t="s">
        <v>116</v>
      </c>
      <c r="I209" s="8"/>
      <c r="J209" s="7"/>
      <c r="K209" s="8" t="s">
        <v>78</v>
      </c>
      <c r="L209" s="8" t="s">
        <v>757</v>
      </c>
      <c r="M209" s="8" t="s">
        <v>84</v>
      </c>
      <c r="N209" s="8" t="s">
        <v>758</v>
      </c>
      <c r="O209" s="13">
        <v>400000</v>
      </c>
      <c r="P209" s="6">
        <v>160000</v>
      </c>
      <c r="Q209" s="7">
        <v>24</v>
      </c>
      <c r="R209" s="8" t="s">
        <v>280</v>
      </c>
      <c r="S209" s="15"/>
    </row>
    <row r="210" spans="1:19" x14ac:dyDescent="0.25">
      <c r="A210" s="10">
        <f t="shared" si="6"/>
        <v>2024</v>
      </c>
      <c r="B210" s="11" t="str">
        <f t="shared" si="7"/>
        <v>April</v>
      </c>
      <c r="C210" s="12">
        <v>45412</v>
      </c>
      <c r="D210" s="8" t="s">
        <v>755</v>
      </c>
      <c r="E210" s="7" cm="1">
        <f t="array" ref="E210">_xlfn.XMATCH(F210&amp;G210&amp;H210, _xlfn.UNIQUE(F$2:F$369 &amp; G$2:G$369 &amp; H$2:H$369))</f>
        <v>132</v>
      </c>
      <c r="F210" s="8" t="s">
        <v>756</v>
      </c>
      <c r="G210" s="8" t="s">
        <v>214</v>
      </c>
      <c r="H210" s="8" t="s">
        <v>116</v>
      </c>
      <c r="I210" s="8"/>
      <c r="J210" s="7"/>
      <c r="K210" s="8" t="s">
        <v>22</v>
      </c>
      <c r="L210" s="8" t="s">
        <v>134</v>
      </c>
      <c r="M210" s="8" t="s">
        <v>84</v>
      </c>
      <c r="N210" s="8" t="s">
        <v>759</v>
      </c>
      <c r="O210" s="13">
        <v>400000</v>
      </c>
      <c r="P210" s="6">
        <v>160000</v>
      </c>
      <c r="Q210" s="7">
        <v>24</v>
      </c>
      <c r="R210" s="8" t="s">
        <v>760</v>
      </c>
      <c r="S210" s="15"/>
    </row>
    <row r="211" spans="1:19" x14ac:dyDescent="0.25">
      <c r="A211" s="10">
        <f t="shared" si="6"/>
        <v>2024</v>
      </c>
      <c r="B211" s="11" t="str">
        <f t="shared" si="7"/>
        <v>May</v>
      </c>
      <c r="C211" s="12">
        <v>45413</v>
      </c>
      <c r="D211" s="8">
        <v>1834</v>
      </c>
      <c r="E211" s="7" cm="1">
        <f t="array" ref="E211">_xlfn.XMATCH(F211&amp;G211&amp;H211, _xlfn.UNIQUE(F$2:F$369 &amp; G$2:G$369 &amp; H$2:H$369))</f>
        <v>108</v>
      </c>
      <c r="F211" s="8" t="s">
        <v>588</v>
      </c>
      <c r="G211" s="8" t="s">
        <v>296</v>
      </c>
      <c r="H211" s="8" t="s">
        <v>52</v>
      </c>
      <c r="I211" s="8" t="s">
        <v>761</v>
      </c>
      <c r="J211" s="7"/>
      <c r="K211" s="8" t="s">
        <v>68</v>
      </c>
      <c r="L211" s="8" t="s">
        <v>762</v>
      </c>
      <c r="M211" s="8" t="s">
        <v>84</v>
      </c>
      <c r="N211" s="8" t="s">
        <v>763</v>
      </c>
      <c r="O211" s="13">
        <v>2150000</v>
      </c>
      <c r="P211" s="6"/>
      <c r="Q211" s="7">
        <v>36</v>
      </c>
      <c r="R211" s="8" t="s">
        <v>764</v>
      </c>
      <c r="S211" s="15"/>
    </row>
    <row r="212" spans="1:19" x14ac:dyDescent="0.25">
      <c r="A212" s="10">
        <f t="shared" si="6"/>
        <v>2024</v>
      </c>
      <c r="B212" s="11" t="str">
        <f t="shared" si="7"/>
        <v>May</v>
      </c>
      <c r="C212" s="12">
        <v>45424</v>
      </c>
      <c r="D212" s="8">
        <v>1686</v>
      </c>
      <c r="E212" s="7" cm="1">
        <f t="array" ref="E212">_xlfn.XMATCH(F212&amp;G212&amp;H212, _xlfn.UNIQUE(F$2:F$369 &amp; G$2:G$369 &amp; H$2:H$369))</f>
        <v>133</v>
      </c>
      <c r="F212" s="8" t="s">
        <v>765</v>
      </c>
      <c r="G212" s="8" t="s">
        <v>766</v>
      </c>
      <c r="H212" s="8" t="s">
        <v>481</v>
      </c>
      <c r="I212" s="8" t="s">
        <v>767</v>
      </c>
      <c r="J212" s="7"/>
      <c r="K212" s="8" t="s">
        <v>22</v>
      </c>
      <c r="L212" s="8" t="s">
        <v>134</v>
      </c>
      <c r="M212" s="8" t="s">
        <v>84</v>
      </c>
      <c r="N212" s="8" t="s">
        <v>768</v>
      </c>
      <c r="O212" s="13">
        <v>450000</v>
      </c>
      <c r="P212" s="6">
        <v>100000</v>
      </c>
      <c r="Q212" s="7">
        <v>24</v>
      </c>
      <c r="R212" s="8" t="s">
        <v>280</v>
      </c>
      <c r="S212" s="15"/>
    </row>
    <row r="213" spans="1:19" x14ac:dyDescent="0.25">
      <c r="A213" s="10">
        <f t="shared" si="6"/>
        <v>2024</v>
      </c>
      <c r="B213" s="11" t="str">
        <f t="shared" si="7"/>
        <v>May</v>
      </c>
      <c r="C213" s="12">
        <v>45425</v>
      </c>
      <c r="D213" s="8">
        <v>1839</v>
      </c>
      <c r="E213" s="7" cm="1">
        <f t="array" ref="E213">_xlfn.XMATCH(F213&amp;G213&amp;H213, _xlfn.UNIQUE(F$2:F$369 &amp; G$2:G$369 &amp; H$2:H$369))</f>
        <v>134</v>
      </c>
      <c r="F213" s="8" t="s">
        <v>769</v>
      </c>
      <c r="G213" s="8" t="s">
        <v>561</v>
      </c>
      <c r="H213" s="8" t="s">
        <v>21</v>
      </c>
      <c r="I213" s="8" t="s">
        <v>770</v>
      </c>
      <c r="J213" s="7"/>
      <c r="K213" s="8" t="s">
        <v>22</v>
      </c>
      <c r="L213" s="8" t="s">
        <v>134</v>
      </c>
      <c r="M213" s="8" t="s">
        <v>84</v>
      </c>
      <c r="N213" s="8" t="s">
        <v>768</v>
      </c>
      <c r="O213" s="13">
        <v>420000</v>
      </c>
      <c r="P213" s="6">
        <v>50000</v>
      </c>
      <c r="Q213" s="7">
        <v>24</v>
      </c>
      <c r="R213" s="8" t="s">
        <v>280</v>
      </c>
      <c r="S213" s="15"/>
    </row>
    <row r="214" spans="1:19" x14ac:dyDescent="0.25">
      <c r="A214" s="10">
        <f t="shared" si="6"/>
        <v>2024</v>
      </c>
      <c r="B214" s="11" t="str">
        <f t="shared" si="7"/>
        <v>May</v>
      </c>
      <c r="C214" s="12">
        <v>45427</v>
      </c>
      <c r="D214" s="8">
        <v>2016</v>
      </c>
      <c r="E214" s="7" cm="1">
        <f t="array" ref="E214">_xlfn.XMATCH(F214&amp;G214&amp;H214, _xlfn.UNIQUE(F$2:F$369 &amp; G$2:G$369 &amp; H$2:H$369))</f>
        <v>126</v>
      </c>
      <c r="F214" s="8" t="s">
        <v>713</v>
      </c>
      <c r="G214" s="8" t="s">
        <v>714</v>
      </c>
      <c r="H214" s="8" t="s">
        <v>52</v>
      </c>
      <c r="I214" s="8"/>
      <c r="J214" s="7"/>
      <c r="K214" s="8" t="s">
        <v>564</v>
      </c>
      <c r="L214" s="8" t="s">
        <v>565</v>
      </c>
      <c r="M214" s="8" t="s">
        <v>84</v>
      </c>
      <c r="N214" s="8" t="s">
        <v>771</v>
      </c>
      <c r="O214" s="13" t="s">
        <v>662</v>
      </c>
      <c r="P214" s="6"/>
      <c r="Q214" s="7"/>
      <c r="R214" s="8"/>
      <c r="S214" s="15"/>
    </row>
    <row r="215" spans="1:19" x14ac:dyDescent="0.25">
      <c r="A215" s="10">
        <f t="shared" si="6"/>
        <v>2024</v>
      </c>
      <c r="B215" s="11" t="str">
        <f t="shared" si="7"/>
        <v>May</v>
      </c>
      <c r="C215" s="12">
        <v>45428</v>
      </c>
      <c r="D215" s="8" t="s">
        <v>772</v>
      </c>
      <c r="E215" s="7" cm="1">
        <f t="array" ref="E215">_xlfn.XMATCH(F215&amp;G215&amp;H215, _xlfn.UNIQUE(F$2:F$369 &amp; G$2:G$369 &amp; H$2:H$369))</f>
        <v>135</v>
      </c>
      <c r="F215" s="8" t="s">
        <v>773</v>
      </c>
      <c r="G215" s="8" t="s">
        <v>774</v>
      </c>
      <c r="H215" s="8" t="s">
        <v>606</v>
      </c>
      <c r="I215" s="8"/>
      <c r="J215" s="7"/>
      <c r="K215" s="8" t="s">
        <v>22</v>
      </c>
      <c r="L215" s="8" t="s">
        <v>134</v>
      </c>
      <c r="M215" s="8" t="s">
        <v>84</v>
      </c>
      <c r="N215" s="8" t="s">
        <v>775</v>
      </c>
      <c r="O215" s="13">
        <v>430000</v>
      </c>
      <c r="P215" s="6">
        <v>100000</v>
      </c>
      <c r="Q215" s="7">
        <v>22</v>
      </c>
      <c r="R215" s="8" t="s">
        <v>246</v>
      </c>
      <c r="S215" s="15"/>
    </row>
    <row r="216" spans="1:19" x14ac:dyDescent="0.25">
      <c r="A216" s="10">
        <f t="shared" si="6"/>
        <v>2024</v>
      </c>
      <c r="B216" s="11" t="str">
        <f t="shared" si="7"/>
        <v>May</v>
      </c>
      <c r="C216" s="12">
        <v>45428</v>
      </c>
      <c r="D216" s="8" t="s">
        <v>776</v>
      </c>
      <c r="E216" s="7" cm="1">
        <f t="array" ref="E216">_xlfn.XMATCH(F216&amp;G216&amp;H216, _xlfn.UNIQUE(F$2:F$369 &amp; G$2:G$369 &amp; H$2:H$369))</f>
        <v>135</v>
      </c>
      <c r="F216" s="8" t="s">
        <v>773</v>
      </c>
      <c r="G216" s="8" t="s">
        <v>774</v>
      </c>
      <c r="H216" s="8" t="s">
        <v>606</v>
      </c>
      <c r="I216" s="8"/>
      <c r="J216" s="7"/>
      <c r="K216" s="8" t="s">
        <v>78</v>
      </c>
      <c r="L216" s="8" t="s">
        <v>79</v>
      </c>
      <c r="M216" s="8" t="s">
        <v>84</v>
      </c>
      <c r="N216" s="8">
        <v>210470</v>
      </c>
      <c r="O216" s="13">
        <v>430000</v>
      </c>
      <c r="P216" s="6">
        <v>100000</v>
      </c>
      <c r="Q216" s="7">
        <v>22</v>
      </c>
      <c r="R216" s="8" t="s">
        <v>777</v>
      </c>
      <c r="S216" s="15"/>
    </row>
    <row r="217" spans="1:19" x14ac:dyDescent="0.25">
      <c r="A217" s="10">
        <f t="shared" si="6"/>
        <v>2024</v>
      </c>
      <c r="B217" s="11" t="str">
        <f t="shared" si="7"/>
        <v>May</v>
      </c>
      <c r="C217" s="12">
        <v>45429</v>
      </c>
      <c r="D217" s="8" t="s">
        <v>778</v>
      </c>
      <c r="E217" s="7" cm="1">
        <f t="array" ref="E217">_xlfn.XMATCH(F217&amp;G217&amp;H217, _xlfn.UNIQUE(F$2:F$369 &amp; G$2:G$369 &amp; H$2:H$369))</f>
        <v>136</v>
      </c>
      <c r="F217" s="8" t="s">
        <v>779</v>
      </c>
      <c r="G217" s="8" t="s">
        <v>780</v>
      </c>
      <c r="H217" s="8" t="s">
        <v>481</v>
      </c>
      <c r="I217" s="8"/>
      <c r="J217" s="7"/>
      <c r="K217" s="8" t="s">
        <v>22</v>
      </c>
      <c r="L217" s="8" t="s">
        <v>134</v>
      </c>
      <c r="M217" s="8" t="s">
        <v>84</v>
      </c>
      <c r="N217" s="8" t="s">
        <v>781</v>
      </c>
      <c r="O217" s="13">
        <v>435000</v>
      </c>
      <c r="P217" s="6">
        <v>100000</v>
      </c>
      <c r="Q217" s="7">
        <v>24</v>
      </c>
      <c r="R217" s="8" t="s">
        <v>246</v>
      </c>
      <c r="S217" s="15"/>
    </row>
    <row r="218" spans="1:19" x14ac:dyDescent="0.25">
      <c r="A218" s="10">
        <f t="shared" si="6"/>
        <v>2024</v>
      </c>
      <c r="B218" s="11" t="str">
        <f t="shared" si="7"/>
        <v>May</v>
      </c>
      <c r="C218" s="12">
        <v>45429</v>
      </c>
      <c r="D218" s="8" t="s">
        <v>782</v>
      </c>
      <c r="E218" s="7" cm="1">
        <f t="array" ref="E218">_xlfn.XMATCH(F218&amp;G218&amp;H218, _xlfn.UNIQUE(F$2:F$369 &amp; G$2:G$369 &amp; H$2:H$369))</f>
        <v>137</v>
      </c>
      <c r="F218" s="8" t="s">
        <v>783</v>
      </c>
      <c r="G218" s="8" t="s">
        <v>784</v>
      </c>
      <c r="H218" s="8" t="s">
        <v>64</v>
      </c>
      <c r="I218" s="8" t="s">
        <v>785</v>
      </c>
      <c r="J218" s="7"/>
      <c r="K218" s="8" t="s">
        <v>22</v>
      </c>
      <c r="L218" s="8" t="s">
        <v>134</v>
      </c>
      <c r="M218" s="8" t="s">
        <v>84</v>
      </c>
      <c r="N218" s="8" t="s">
        <v>786</v>
      </c>
      <c r="O218" s="13">
        <v>385000</v>
      </c>
      <c r="P218" s="6">
        <v>100000</v>
      </c>
      <c r="Q218" s="7">
        <v>24</v>
      </c>
      <c r="R218" s="8" t="s">
        <v>280</v>
      </c>
      <c r="S218" s="15"/>
    </row>
    <row r="219" spans="1:19" x14ac:dyDescent="0.25">
      <c r="A219" s="10">
        <f t="shared" si="6"/>
        <v>2024</v>
      </c>
      <c r="B219" s="11" t="str">
        <f t="shared" si="7"/>
        <v>May</v>
      </c>
      <c r="C219" s="12">
        <v>45429</v>
      </c>
      <c r="D219" s="8" t="s">
        <v>782</v>
      </c>
      <c r="E219" s="7" cm="1">
        <f t="array" ref="E219">_xlfn.XMATCH(F219&amp;G219&amp;H219, _xlfn.UNIQUE(F$2:F$369 &amp; G$2:G$369 &amp; H$2:H$369))</f>
        <v>137</v>
      </c>
      <c r="F219" s="8" t="s">
        <v>783</v>
      </c>
      <c r="G219" s="8" t="s">
        <v>784</v>
      </c>
      <c r="H219" s="8" t="s">
        <v>64</v>
      </c>
      <c r="I219" s="8" t="s">
        <v>785</v>
      </c>
      <c r="J219" s="7"/>
      <c r="K219" s="8" t="s">
        <v>78</v>
      </c>
      <c r="L219" s="8" t="s">
        <v>79</v>
      </c>
      <c r="M219" s="8" t="s">
        <v>84</v>
      </c>
      <c r="N219" s="8" t="s">
        <v>787</v>
      </c>
      <c r="O219" s="13">
        <v>385000</v>
      </c>
      <c r="P219" s="6">
        <v>100000</v>
      </c>
      <c r="Q219" s="7">
        <v>24</v>
      </c>
      <c r="R219" s="8" t="s">
        <v>788</v>
      </c>
      <c r="S219" s="15"/>
    </row>
    <row r="220" spans="1:19" x14ac:dyDescent="0.25">
      <c r="A220" s="10">
        <f t="shared" si="6"/>
        <v>2024</v>
      </c>
      <c r="B220" s="11" t="str">
        <f t="shared" si="7"/>
        <v>May</v>
      </c>
      <c r="C220" s="12">
        <v>45440</v>
      </c>
      <c r="D220" s="8" t="s">
        <v>789</v>
      </c>
      <c r="E220" s="7" cm="1">
        <f t="array" ref="E220">_xlfn.XMATCH(F220&amp;G220&amp;H220, _xlfn.UNIQUE(F$2:F$369 &amp; G$2:G$369 &amp; H$2:H$369))</f>
        <v>9</v>
      </c>
      <c r="F220" s="8" t="s">
        <v>48</v>
      </c>
      <c r="G220" s="8" t="s">
        <v>26</v>
      </c>
      <c r="H220" s="8" t="s">
        <v>27</v>
      </c>
      <c r="I220" s="8"/>
      <c r="J220" s="7"/>
      <c r="K220" s="8" t="s">
        <v>564</v>
      </c>
      <c r="L220" s="8" t="s">
        <v>565</v>
      </c>
      <c r="M220" s="8" t="s">
        <v>84</v>
      </c>
      <c r="N220" s="8" t="s">
        <v>790</v>
      </c>
      <c r="O220" s="13" t="s">
        <v>662</v>
      </c>
      <c r="P220" s="6"/>
      <c r="Q220" s="7"/>
      <c r="R220" s="8" t="s">
        <v>791</v>
      </c>
      <c r="S220" s="15"/>
    </row>
    <row r="221" spans="1:19" x14ac:dyDescent="0.25">
      <c r="A221" s="10">
        <f t="shared" si="6"/>
        <v>2024</v>
      </c>
      <c r="B221" s="11" t="str">
        <f t="shared" si="7"/>
        <v>May</v>
      </c>
      <c r="C221" s="12">
        <v>45441</v>
      </c>
      <c r="D221" s="8" t="s">
        <v>792</v>
      </c>
      <c r="E221" s="7" cm="1">
        <f t="array" ref="E221">_xlfn.XMATCH(F221&amp;G221&amp;H221, _xlfn.UNIQUE(F$2:F$369 &amp; G$2:G$369 &amp; H$2:H$369))</f>
        <v>69</v>
      </c>
      <c r="F221" s="8" t="s">
        <v>387</v>
      </c>
      <c r="G221" s="8" t="s">
        <v>226</v>
      </c>
      <c r="H221" s="8" t="s">
        <v>227</v>
      </c>
      <c r="I221" s="8"/>
      <c r="J221" s="7"/>
      <c r="K221" s="8" t="s">
        <v>91</v>
      </c>
      <c r="L221" s="8" t="s">
        <v>793</v>
      </c>
      <c r="M221" s="8" t="s">
        <v>84</v>
      </c>
      <c r="N221" s="8" t="s">
        <v>794</v>
      </c>
      <c r="O221" s="13">
        <v>460000</v>
      </c>
      <c r="P221" s="6">
        <v>100000</v>
      </c>
      <c r="Q221" s="7">
        <v>18</v>
      </c>
      <c r="R221" s="8" t="s">
        <v>795</v>
      </c>
      <c r="S221" s="15"/>
    </row>
    <row r="222" spans="1:19" x14ac:dyDescent="0.25">
      <c r="A222" s="10">
        <f t="shared" si="6"/>
        <v>2024</v>
      </c>
      <c r="B222" s="11" t="str">
        <f t="shared" si="7"/>
        <v>June</v>
      </c>
      <c r="C222" s="12">
        <v>45471</v>
      </c>
      <c r="D222" s="8" t="s">
        <v>796</v>
      </c>
      <c r="E222" s="7" cm="1">
        <f t="array" ref="E222">_xlfn.XMATCH(F222&amp;G222&amp;H222, _xlfn.UNIQUE(F$2:F$369 &amp; G$2:G$369 &amp; H$2:H$369))</f>
        <v>138</v>
      </c>
      <c r="F222" s="8" t="s">
        <v>797</v>
      </c>
      <c r="G222" s="8" t="s">
        <v>798</v>
      </c>
      <c r="H222" s="8" t="s">
        <v>481</v>
      </c>
      <c r="I222" s="8" t="s">
        <v>799</v>
      </c>
      <c r="J222" s="7"/>
      <c r="K222" s="8" t="s">
        <v>22</v>
      </c>
      <c r="L222" s="8" t="s">
        <v>134</v>
      </c>
      <c r="M222" s="8" t="s">
        <v>660</v>
      </c>
      <c r="N222" s="8" t="s">
        <v>800</v>
      </c>
      <c r="O222" s="13">
        <v>450000</v>
      </c>
      <c r="P222" s="6">
        <v>200000</v>
      </c>
      <c r="Q222" s="7">
        <v>18</v>
      </c>
      <c r="R222" s="8" t="s">
        <v>280</v>
      </c>
      <c r="S222" s="15"/>
    </row>
    <row r="223" spans="1:19" x14ac:dyDescent="0.25">
      <c r="A223" s="10">
        <f t="shared" si="6"/>
        <v>2024</v>
      </c>
      <c r="B223" s="11" t="str">
        <f t="shared" si="7"/>
        <v>July</v>
      </c>
      <c r="C223" s="12">
        <v>45481</v>
      </c>
      <c r="D223" s="8">
        <v>2117</v>
      </c>
      <c r="E223" s="7" cm="1">
        <f t="array" ref="E223">_xlfn.XMATCH(F223&amp;G223&amp;H223, _xlfn.UNIQUE(F$2:F$369 &amp; G$2:G$369 &amp; H$2:H$369))</f>
        <v>16</v>
      </c>
      <c r="F223" s="8" t="s">
        <v>87</v>
      </c>
      <c r="G223" s="8" t="s">
        <v>88</v>
      </c>
      <c r="H223" s="8" t="s">
        <v>21</v>
      </c>
      <c r="I223" s="8"/>
      <c r="J223" s="7"/>
      <c r="K223" s="8" t="s">
        <v>78</v>
      </c>
      <c r="L223" s="8" t="s">
        <v>801</v>
      </c>
      <c r="M223" s="8" t="s">
        <v>660</v>
      </c>
      <c r="N223" s="41">
        <v>6311012300050</v>
      </c>
      <c r="O223" s="13"/>
      <c r="P223" s="6"/>
      <c r="Q223" s="7"/>
      <c r="R223" s="8" t="s">
        <v>802</v>
      </c>
      <c r="S223" s="15"/>
    </row>
    <row r="224" spans="1:19" x14ac:dyDescent="0.25">
      <c r="A224" s="10">
        <f t="shared" si="6"/>
        <v>2024</v>
      </c>
      <c r="B224" s="11" t="str">
        <f t="shared" si="7"/>
        <v>July</v>
      </c>
      <c r="C224" s="12">
        <v>45482</v>
      </c>
      <c r="D224" s="8">
        <v>2121</v>
      </c>
      <c r="E224" s="7" cm="1">
        <f t="array" ref="E224">_xlfn.XMATCH(F224&amp;G224&amp;H224, _xlfn.UNIQUE(F$2:F$369 &amp; G$2:G$369 &amp; H$2:H$369))</f>
        <v>53</v>
      </c>
      <c r="F224" s="8" t="s">
        <v>295</v>
      </c>
      <c r="G224" s="8" t="s">
        <v>296</v>
      </c>
      <c r="H224" s="8" t="s">
        <v>52</v>
      </c>
      <c r="I224" s="8" t="s">
        <v>803</v>
      </c>
      <c r="J224" s="7"/>
      <c r="K224" s="8" t="s">
        <v>78</v>
      </c>
      <c r="L224" s="8" t="s">
        <v>801</v>
      </c>
      <c r="M224" s="8" t="s">
        <v>660</v>
      </c>
      <c r="N224" s="42" t="s">
        <v>804</v>
      </c>
      <c r="O224" s="13">
        <v>435000</v>
      </c>
      <c r="P224" s="6">
        <v>105000</v>
      </c>
      <c r="Q224" s="7">
        <v>33</v>
      </c>
      <c r="R224" s="8" t="s">
        <v>805</v>
      </c>
      <c r="S224" s="15"/>
    </row>
    <row r="225" spans="1:19" x14ac:dyDescent="0.25">
      <c r="A225" s="10">
        <f t="shared" si="6"/>
        <v>2024</v>
      </c>
      <c r="B225" s="11" t="str">
        <f t="shared" si="7"/>
        <v>July</v>
      </c>
      <c r="C225" s="12">
        <v>45483</v>
      </c>
      <c r="D225" s="8">
        <v>2068</v>
      </c>
      <c r="E225" s="7" cm="1">
        <f t="array" ref="E225">_xlfn.XMATCH(F225&amp;G225&amp;H225, _xlfn.UNIQUE(F$2:F$369 &amp; G$2:G$369 &amp; H$2:H$369))</f>
        <v>66</v>
      </c>
      <c r="F225" s="8" t="s">
        <v>375</v>
      </c>
      <c r="G225" s="8" t="s">
        <v>376</v>
      </c>
      <c r="H225" s="8" t="s">
        <v>64</v>
      </c>
      <c r="I225" s="8" t="s">
        <v>806</v>
      </c>
      <c r="J225" s="7"/>
      <c r="K225" s="8" t="s">
        <v>78</v>
      </c>
      <c r="L225" s="8" t="s">
        <v>801</v>
      </c>
      <c r="M225" s="8" t="s">
        <v>660</v>
      </c>
      <c r="N225" s="42" t="s">
        <v>807</v>
      </c>
      <c r="O225" s="13">
        <v>435000</v>
      </c>
      <c r="P225" s="6">
        <v>210000</v>
      </c>
      <c r="Q225" s="7">
        <v>33</v>
      </c>
      <c r="R225" s="8" t="s">
        <v>805</v>
      </c>
      <c r="S225" s="15"/>
    </row>
    <row r="226" spans="1:19" x14ac:dyDescent="0.25">
      <c r="A226" s="10">
        <f t="shared" si="6"/>
        <v>2024</v>
      </c>
      <c r="B226" s="11" t="str">
        <f t="shared" si="7"/>
        <v>July</v>
      </c>
      <c r="C226" s="12">
        <v>45483</v>
      </c>
      <c r="D226" s="8">
        <v>2070</v>
      </c>
      <c r="E226" s="7" cm="1">
        <f t="array" ref="E226">_xlfn.XMATCH(F226&amp;G226&amp;H226, _xlfn.UNIQUE(F$2:F$369 &amp; G$2:G$369 &amp; H$2:H$369))</f>
        <v>92</v>
      </c>
      <c r="F226" s="8" t="s">
        <v>515</v>
      </c>
      <c r="G226" s="8" t="s">
        <v>168</v>
      </c>
      <c r="H226" s="8" t="s">
        <v>52</v>
      </c>
      <c r="I226" s="8" t="s">
        <v>808</v>
      </c>
      <c r="J226" s="7"/>
      <c r="K226" s="8" t="s">
        <v>809</v>
      </c>
      <c r="L226" s="8" t="s">
        <v>343</v>
      </c>
      <c r="M226" s="8" t="s">
        <v>660</v>
      </c>
      <c r="N226" s="8" t="s">
        <v>810</v>
      </c>
      <c r="O226" s="13">
        <v>430000</v>
      </c>
      <c r="P226" s="6"/>
      <c r="Q226" s="7">
        <v>24</v>
      </c>
      <c r="R226" s="8"/>
      <c r="S226" s="15"/>
    </row>
    <row r="227" spans="1:19" x14ac:dyDescent="0.25">
      <c r="A227" s="10">
        <f t="shared" si="6"/>
        <v>2024</v>
      </c>
      <c r="B227" s="11" t="str">
        <f t="shared" si="7"/>
        <v>July</v>
      </c>
      <c r="C227" s="12">
        <v>45489</v>
      </c>
      <c r="D227" s="8" t="s">
        <v>811</v>
      </c>
      <c r="E227" s="7" cm="1">
        <f t="array" ref="E227">_xlfn.XMATCH(F227&amp;G227&amp;H227, _xlfn.UNIQUE(F$2:F$369 &amp; G$2:G$369 &amp; H$2:H$369))</f>
        <v>136</v>
      </c>
      <c r="F227" s="8" t="s">
        <v>779</v>
      </c>
      <c r="G227" s="8" t="s">
        <v>780</v>
      </c>
      <c r="H227" s="8" t="s">
        <v>481</v>
      </c>
      <c r="I227" s="8"/>
      <c r="J227" s="7"/>
      <c r="K227" s="8" t="s">
        <v>78</v>
      </c>
      <c r="L227" s="8" t="s">
        <v>801</v>
      </c>
      <c r="M227" s="8" t="s">
        <v>660</v>
      </c>
      <c r="N227" s="42" t="s">
        <v>812</v>
      </c>
      <c r="O227" s="13">
        <v>450000</v>
      </c>
      <c r="P227" s="6"/>
      <c r="Q227" s="7">
        <v>24</v>
      </c>
      <c r="R227" s="8"/>
      <c r="S227" s="15"/>
    </row>
    <row r="228" spans="1:19" x14ac:dyDescent="0.25">
      <c r="A228" s="10">
        <f t="shared" si="6"/>
        <v>2024</v>
      </c>
      <c r="B228" s="11" t="str">
        <f t="shared" si="7"/>
        <v>July</v>
      </c>
      <c r="C228" s="12">
        <v>45497</v>
      </c>
      <c r="D228" s="8">
        <v>2140</v>
      </c>
      <c r="E228" s="7" cm="1">
        <f t="array" ref="E228">_xlfn.XMATCH(F228&amp;G228&amp;H228, _xlfn.UNIQUE(F$2:F$369 &amp; G$2:G$369 &amp; H$2:H$369))</f>
        <v>139</v>
      </c>
      <c r="F228" s="8" t="s">
        <v>813</v>
      </c>
      <c r="G228" s="8" t="s">
        <v>214</v>
      </c>
      <c r="H228" s="8" t="s">
        <v>116</v>
      </c>
      <c r="I228" s="8" t="s">
        <v>814</v>
      </c>
      <c r="J228" s="7"/>
      <c r="K228" s="8" t="s">
        <v>22</v>
      </c>
      <c r="L228" s="8" t="s">
        <v>134</v>
      </c>
      <c r="M228" s="8" t="s">
        <v>660</v>
      </c>
      <c r="N228" s="8" t="s">
        <v>815</v>
      </c>
      <c r="O228" s="13">
        <v>430000</v>
      </c>
      <c r="P228" s="6">
        <v>151000</v>
      </c>
      <c r="Q228" s="7">
        <v>24</v>
      </c>
      <c r="R228" s="8" t="s">
        <v>816</v>
      </c>
      <c r="S228" s="15"/>
    </row>
    <row r="229" spans="1:19" x14ac:dyDescent="0.25">
      <c r="A229" s="10">
        <f t="shared" si="6"/>
        <v>2024</v>
      </c>
      <c r="B229" s="11" t="str">
        <f t="shared" si="7"/>
        <v>July</v>
      </c>
      <c r="C229" s="12">
        <v>45500</v>
      </c>
      <c r="D229" s="8">
        <v>2179</v>
      </c>
      <c r="E229" s="7" cm="1">
        <f t="array" ref="E229">_xlfn.XMATCH(F229&amp;G229&amp;H229, _xlfn.UNIQUE(F$2:F$369 &amp; G$2:G$369 &amp; H$2:H$369))</f>
        <v>140</v>
      </c>
      <c r="F229" s="8" t="s">
        <v>817</v>
      </c>
      <c r="G229" s="8" t="s">
        <v>818</v>
      </c>
      <c r="H229" s="8" t="s">
        <v>819</v>
      </c>
      <c r="I229" s="8" t="s">
        <v>820</v>
      </c>
      <c r="J229" s="7"/>
      <c r="K229" s="8" t="s">
        <v>22</v>
      </c>
      <c r="L229" s="8" t="s">
        <v>134</v>
      </c>
      <c r="M229" s="8" t="s">
        <v>660</v>
      </c>
      <c r="N229" s="8" t="s">
        <v>821</v>
      </c>
      <c r="O229" s="13">
        <v>360000</v>
      </c>
      <c r="P229" s="6">
        <v>50000</v>
      </c>
      <c r="Q229" s="7">
        <v>24</v>
      </c>
      <c r="R229" s="8" t="s">
        <v>822</v>
      </c>
      <c r="S229" s="15"/>
    </row>
    <row r="230" spans="1:19" x14ac:dyDescent="0.25">
      <c r="A230" s="10">
        <f t="shared" si="6"/>
        <v>2024</v>
      </c>
      <c r="B230" s="11" t="str">
        <f t="shared" si="7"/>
        <v>July</v>
      </c>
      <c r="C230" s="12">
        <v>45500</v>
      </c>
      <c r="D230" s="8">
        <v>2178</v>
      </c>
      <c r="E230" s="7" cm="1">
        <f t="array" ref="E230">_xlfn.XMATCH(F230&amp;G230&amp;H230, _xlfn.UNIQUE(F$2:F$369 &amp; G$2:G$369 &amp; H$2:H$369))</f>
        <v>141</v>
      </c>
      <c r="F230" s="8" t="s">
        <v>823</v>
      </c>
      <c r="G230" s="8" t="s">
        <v>818</v>
      </c>
      <c r="H230" s="8" t="s">
        <v>819</v>
      </c>
      <c r="I230" s="8" t="s">
        <v>824</v>
      </c>
      <c r="J230" s="7"/>
      <c r="K230" s="8" t="s">
        <v>22</v>
      </c>
      <c r="L230" s="8" t="s">
        <v>134</v>
      </c>
      <c r="M230" s="8" t="s">
        <v>660</v>
      </c>
      <c r="N230" s="8" t="s">
        <v>825</v>
      </c>
      <c r="O230" s="13">
        <v>430000</v>
      </c>
      <c r="P230" s="6">
        <v>180000</v>
      </c>
      <c r="Q230" s="7">
        <v>24</v>
      </c>
      <c r="R230" s="8" t="s">
        <v>822</v>
      </c>
      <c r="S230" s="15"/>
    </row>
    <row r="231" spans="1:19" x14ac:dyDescent="0.25">
      <c r="A231" s="10">
        <f t="shared" si="6"/>
        <v>2024</v>
      </c>
      <c r="B231" s="11" t="str">
        <f t="shared" si="7"/>
        <v>July</v>
      </c>
      <c r="C231" s="12">
        <v>45503</v>
      </c>
      <c r="D231" s="8">
        <v>2180</v>
      </c>
      <c r="E231" s="7" cm="1">
        <f t="array" ref="E231">_xlfn.XMATCH(F231&amp;G231&amp;H231, _xlfn.UNIQUE(F$2:F$369 &amp; G$2:G$369 &amp; H$2:H$369))</f>
        <v>142</v>
      </c>
      <c r="F231" s="8" t="s">
        <v>826</v>
      </c>
      <c r="G231" s="8" t="s">
        <v>827</v>
      </c>
      <c r="H231" s="8" t="s">
        <v>819</v>
      </c>
      <c r="I231" s="8" t="s">
        <v>828</v>
      </c>
      <c r="J231" s="7"/>
      <c r="K231" s="8" t="s">
        <v>22</v>
      </c>
      <c r="L231" s="8" t="s">
        <v>134</v>
      </c>
      <c r="M231" s="8" t="s">
        <v>660</v>
      </c>
      <c r="N231" s="8" t="s">
        <v>829</v>
      </c>
      <c r="O231" s="13">
        <v>450000</v>
      </c>
      <c r="P231" s="6">
        <v>100000</v>
      </c>
      <c r="Q231" s="7">
        <v>24</v>
      </c>
      <c r="R231" s="8" t="s">
        <v>822</v>
      </c>
      <c r="S231" s="15"/>
    </row>
    <row r="232" spans="1:19" x14ac:dyDescent="0.25">
      <c r="A232" s="10">
        <f t="shared" si="6"/>
        <v>2024</v>
      </c>
      <c r="B232" s="11" t="str">
        <f t="shared" si="7"/>
        <v>August</v>
      </c>
      <c r="C232" s="12">
        <v>45505</v>
      </c>
      <c r="D232" s="8">
        <v>2182</v>
      </c>
      <c r="E232" s="7" cm="1">
        <f t="array" ref="E232">_xlfn.XMATCH(F232&amp;G232&amp;H232, _xlfn.UNIQUE(F$2:F$369 &amp; G$2:G$369 &amp; H$2:H$369))</f>
        <v>20</v>
      </c>
      <c r="F232" s="8" t="s">
        <v>114</v>
      </c>
      <c r="G232" s="8" t="s">
        <v>115</v>
      </c>
      <c r="H232" s="8" t="s">
        <v>116</v>
      </c>
      <c r="I232" s="8" t="s">
        <v>830</v>
      </c>
      <c r="J232" s="7"/>
      <c r="K232" s="8" t="s">
        <v>68</v>
      </c>
      <c r="L232" s="8"/>
      <c r="M232" s="8" t="s">
        <v>660</v>
      </c>
      <c r="N232" s="8" t="s">
        <v>831</v>
      </c>
      <c r="O232" s="13">
        <v>1800000</v>
      </c>
      <c r="P232" s="6">
        <v>400000</v>
      </c>
      <c r="Q232" s="7">
        <v>47</v>
      </c>
      <c r="R232" s="8" t="s">
        <v>832</v>
      </c>
      <c r="S232" s="15"/>
    </row>
    <row r="233" spans="1:19" x14ac:dyDescent="0.25">
      <c r="A233" s="10">
        <f t="shared" si="6"/>
        <v>2024</v>
      </c>
      <c r="B233" s="11" t="str">
        <f t="shared" si="7"/>
        <v>August</v>
      </c>
      <c r="C233" s="12">
        <v>45505</v>
      </c>
      <c r="D233" s="8">
        <v>1981</v>
      </c>
      <c r="E233" s="7" cm="1">
        <f t="array" ref="E233">_xlfn.XMATCH(F233&amp;G233&amp;H233, _xlfn.UNIQUE(F$2:F$369 &amp; G$2:G$369 &amp; H$2:H$369))</f>
        <v>57</v>
      </c>
      <c r="F233" s="8" t="s">
        <v>315</v>
      </c>
      <c r="G233" s="8" t="s">
        <v>316</v>
      </c>
      <c r="H233" s="8" t="s">
        <v>64</v>
      </c>
      <c r="I233" s="8"/>
      <c r="J233" s="7"/>
      <c r="K233" s="8" t="s">
        <v>68</v>
      </c>
      <c r="L233" s="8"/>
      <c r="M233" s="8" t="s">
        <v>660</v>
      </c>
      <c r="N233" s="8" t="s">
        <v>833</v>
      </c>
      <c r="O233" s="13">
        <v>2000000</v>
      </c>
      <c r="P233" s="6">
        <v>500000</v>
      </c>
      <c r="Q233" s="7">
        <v>48</v>
      </c>
      <c r="R233" s="8" t="s">
        <v>834</v>
      </c>
      <c r="S233" s="15"/>
    </row>
    <row r="234" spans="1:19" x14ac:dyDescent="0.25">
      <c r="A234" s="10">
        <f t="shared" si="6"/>
        <v>2024</v>
      </c>
      <c r="B234" s="11" t="str">
        <f t="shared" si="7"/>
        <v>August</v>
      </c>
      <c r="C234" s="12">
        <v>45505</v>
      </c>
      <c r="D234" s="8">
        <v>2181</v>
      </c>
      <c r="E234" s="7" cm="1">
        <f t="array" ref="E234">_xlfn.XMATCH(F234&amp;G234&amp;H234, _xlfn.UNIQUE(F$2:F$369 &amp; G$2:G$369 &amp; H$2:H$369))</f>
        <v>143</v>
      </c>
      <c r="F234" s="8" t="s">
        <v>835</v>
      </c>
      <c r="G234" s="8" t="s">
        <v>142</v>
      </c>
      <c r="H234" s="8" t="s">
        <v>52</v>
      </c>
      <c r="I234" s="8" t="s">
        <v>836</v>
      </c>
      <c r="J234" s="7"/>
      <c r="K234" s="8" t="s">
        <v>68</v>
      </c>
      <c r="L234" s="8"/>
      <c r="M234" s="8" t="s">
        <v>660</v>
      </c>
      <c r="N234" s="8" t="s">
        <v>837</v>
      </c>
      <c r="O234" s="13">
        <v>1600000</v>
      </c>
      <c r="P234" s="6">
        <v>350000</v>
      </c>
      <c r="Q234" s="7">
        <v>60</v>
      </c>
      <c r="R234" s="8" t="s">
        <v>832</v>
      </c>
      <c r="S234" s="15"/>
    </row>
    <row r="235" spans="1:19" x14ac:dyDescent="0.25">
      <c r="A235" s="10">
        <f t="shared" si="6"/>
        <v>2024</v>
      </c>
      <c r="B235" s="11" t="str">
        <f t="shared" si="7"/>
        <v>August</v>
      </c>
      <c r="C235" s="12">
        <v>45512</v>
      </c>
      <c r="D235" s="8"/>
      <c r="E235" s="7" cm="1">
        <f t="array" ref="E235">_xlfn.XMATCH(F235&amp;G235&amp;H235, _xlfn.UNIQUE(F$2:F$369 &amp; G$2:G$369 &amp; H$2:H$369))</f>
        <v>75</v>
      </c>
      <c r="F235" s="8" t="s">
        <v>425</v>
      </c>
      <c r="G235" s="8" t="s">
        <v>63</v>
      </c>
      <c r="H235" s="8" t="s">
        <v>64</v>
      </c>
      <c r="I235" s="8" t="s">
        <v>426</v>
      </c>
      <c r="J235" s="7"/>
      <c r="K235" s="8" t="s">
        <v>78</v>
      </c>
      <c r="L235" s="8" t="s">
        <v>801</v>
      </c>
      <c r="M235" s="8"/>
      <c r="N235" s="8" t="s">
        <v>838</v>
      </c>
      <c r="O235" s="13">
        <v>400000</v>
      </c>
      <c r="P235" s="6">
        <v>400000</v>
      </c>
      <c r="Q235" s="7" t="s">
        <v>839</v>
      </c>
      <c r="R235" s="8"/>
      <c r="S235" s="15"/>
    </row>
    <row r="236" spans="1:19" x14ac:dyDescent="0.25">
      <c r="A236" s="10">
        <f t="shared" si="6"/>
        <v>2024</v>
      </c>
      <c r="B236" s="11" t="str">
        <f t="shared" si="7"/>
        <v>August</v>
      </c>
      <c r="C236" s="12">
        <v>45512</v>
      </c>
      <c r="D236" s="15"/>
      <c r="E236" s="7" cm="1">
        <f t="array" ref="E236">_xlfn.XMATCH(F236&amp;G236&amp;H236, _xlfn.UNIQUE(F$2:F$369 &amp; G$2:G$369 &amp; H$2:H$369))</f>
        <v>75</v>
      </c>
      <c r="F236" s="8" t="s">
        <v>425</v>
      </c>
      <c r="G236" s="8" t="s">
        <v>63</v>
      </c>
      <c r="H236" s="8" t="s">
        <v>64</v>
      </c>
      <c r="I236" s="8" t="s">
        <v>426</v>
      </c>
      <c r="J236" s="43"/>
      <c r="K236" s="9" t="s">
        <v>565</v>
      </c>
      <c r="L236" s="15"/>
      <c r="M236" s="15"/>
      <c r="N236" s="15" t="s">
        <v>840</v>
      </c>
      <c r="O236" s="15"/>
      <c r="P236" s="15"/>
      <c r="Q236" s="15"/>
      <c r="R236" s="15"/>
      <c r="S236" s="15"/>
    </row>
    <row r="237" spans="1:19" x14ac:dyDescent="0.25">
      <c r="A237" s="10">
        <f t="shared" si="6"/>
        <v>2024</v>
      </c>
      <c r="B237" s="11" t="str">
        <f t="shared" si="7"/>
        <v>August</v>
      </c>
      <c r="C237" s="12">
        <v>45512</v>
      </c>
      <c r="D237" s="8">
        <v>2184</v>
      </c>
      <c r="E237" s="7" cm="1">
        <f t="array" ref="E237">_xlfn.XMATCH(F237&amp;G237&amp;H237, _xlfn.UNIQUE(F$2:F$369 &amp; G$2:G$369 &amp; H$2:H$369))</f>
        <v>144</v>
      </c>
      <c r="F237" s="8" t="s">
        <v>841</v>
      </c>
      <c r="G237" s="8" t="s">
        <v>842</v>
      </c>
      <c r="H237" s="8" t="s">
        <v>819</v>
      </c>
      <c r="I237" s="8"/>
      <c r="J237" s="7"/>
      <c r="K237" s="8" t="s">
        <v>22</v>
      </c>
      <c r="L237" s="8" t="s">
        <v>134</v>
      </c>
      <c r="M237" s="8" t="s">
        <v>660</v>
      </c>
      <c r="N237" s="8" t="s">
        <v>843</v>
      </c>
      <c r="O237" s="13">
        <v>430000</v>
      </c>
      <c r="P237" s="6">
        <v>50000</v>
      </c>
      <c r="Q237" s="7">
        <v>24</v>
      </c>
      <c r="R237" s="8" t="s">
        <v>844</v>
      </c>
      <c r="S237" s="15"/>
    </row>
    <row r="238" spans="1:19" x14ac:dyDescent="0.25">
      <c r="A238" s="10">
        <f t="shared" si="6"/>
        <v>2024</v>
      </c>
      <c r="B238" s="11" t="str">
        <f t="shared" si="7"/>
        <v>August</v>
      </c>
      <c r="C238" s="12">
        <v>45513</v>
      </c>
      <c r="D238" s="8">
        <v>2086</v>
      </c>
      <c r="E238" s="7" cm="1">
        <f t="array" ref="E238">_xlfn.XMATCH(F238&amp;G238&amp;H238, _xlfn.UNIQUE(F$2:F$369 &amp; G$2:G$369 &amp; H$2:H$369))</f>
        <v>145</v>
      </c>
      <c r="F238" s="8" t="s">
        <v>845</v>
      </c>
      <c r="G238" s="8" t="s">
        <v>846</v>
      </c>
      <c r="H238" s="8" t="s">
        <v>46</v>
      </c>
      <c r="I238" s="8" t="s">
        <v>847</v>
      </c>
      <c r="J238" s="7"/>
      <c r="K238" s="8" t="s">
        <v>22</v>
      </c>
      <c r="L238" s="8" t="s">
        <v>134</v>
      </c>
      <c r="M238" s="8" t="s">
        <v>660</v>
      </c>
      <c r="N238" s="8" t="s">
        <v>848</v>
      </c>
      <c r="O238" s="13">
        <v>450000</v>
      </c>
      <c r="P238" s="6">
        <v>50000</v>
      </c>
      <c r="Q238" s="7">
        <v>18</v>
      </c>
      <c r="R238" s="8" t="s">
        <v>849</v>
      </c>
      <c r="S238" s="15"/>
    </row>
    <row r="239" spans="1:19" x14ac:dyDescent="0.25">
      <c r="A239" s="10">
        <f t="shared" si="6"/>
        <v>2024</v>
      </c>
      <c r="B239" s="11" t="str">
        <f t="shared" si="7"/>
        <v>September</v>
      </c>
      <c r="C239" s="12">
        <v>45541</v>
      </c>
      <c r="D239" s="8">
        <v>2407</v>
      </c>
      <c r="E239" s="7" cm="1">
        <f t="array" ref="E239">_xlfn.XMATCH(F239&amp;G239&amp;H239, _xlfn.UNIQUE(F$2:F$369 &amp; G$2:G$369 &amp; H$2:H$369))</f>
        <v>146</v>
      </c>
      <c r="F239" s="8" t="s">
        <v>850</v>
      </c>
      <c r="G239" s="8" t="s">
        <v>851</v>
      </c>
      <c r="H239" s="8" t="s">
        <v>255</v>
      </c>
      <c r="I239" s="8" t="s">
        <v>852</v>
      </c>
      <c r="J239" s="7"/>
      <c r="K239" s="8" t="s">
        <v>22</v>
      </c>
      <c r="L239" s="8" t="s">
        <v>134</v>
      </c>
      <c r="M239" s="8" t="s">
        <v>660</v>
      </c>
      <c r="N239" s="8" t="s">
        <v>853</v>
      </c>
      <c r="O239" s="13">
        <v>400000</v>
      </c>
      <c r="P239" s="6">
        <v>100000</v>
      </c>
      <c r="Q239" s="7">
        <v>24</v>
      </c>
      <c r="R239" s="8" t="s">
        <v>844</v>
      </c>
      <c r="S239" s="15"/>
    </row>
    <row r="240" spans="1:19" x14ac:dyDescent="0.25">
      <c r="A240" s="10">
        <f t="shared" ref="A240:A303" si="8">YEAR($C240)</f>
        <v>2024</v>
      </c>
      <c r="B240" s="11" t="str">
        <f t="shared" ref="B240:B303" si="9">TEXT(C240,"mmmm")</f>
        <v>September</v>
      </c>
      <c r="C240" s="12">
        <v>45541</v>
      </c>
      <c r="D240" s="8">
        <v>2408</v>
      </c>
      <c r="E240" s="7" cm="1">
        <f t="array" ref="E240">_xlfn.XMATCH(F240&amp;G240&amp;H240, _xlfn.UNIQUE(F$2:F$369 &amp; G$2:G$369 &amp; H$2:H$369))</f>
        <v>147</v>
      </c>
      <c r="F240" s="8" t="s">
        <v>854</v>
      </c>
      <c r="G240" s="8" t="s">
        <v>855</v>
      </c>
      <c r="H240" s="8" t="s">
        <v>255</v>
      </c>
      <c r="I240" s="8" t="s">
        <v>856</v>
      </c>
      <c r="J240" s="7"/>
      <c r="K240" s="8" t="s">
        <v>22</v>
      </c>
      <c r="L240" s="8" t="s">
        <v>134</v>
      </c>
      <c r="M240" s="8" t="s">
        <v>660</v>
      </c>
      <c r="N240" s="8" t="s">
        <v>857</v>
      </c>
      <c r="O240" s="13">
        <v>430000</v>
      </c>
      <c r="P240" s="6">
        <v>100000</v>
      </c>
      <c r="Q240" s="7">
        <v>24</v>
      </c>
      <c r="R240" s="8" t="s">
        <v>844</v>
      </c>
      <c r="S240" s="15"/>
    </row>
    <row r="241" spans="1:19" x14ac:dyDescent="0.25">
      <c r="A241" s="10">
        <f t="shared" si="8"/>
        <v>2024</v>
      </c>
      <c r="B241" s="11" t="str">
        <f t="shared" si="9"/>
        <v>September</v>
      </c>
      <c r="C241" s="12">
        <v>45542</v>
      </c>
      <c r="D241" s="8">
        <v>2359</v>
      </c>
      <c r="E241" s="7" cm="1">
        <f t="array" ref="E241">_xlfn.XMATCH(F241&amp;G241&amp;H241, _xlfn.UNIQUE(F$2:F$369 &amp; G$2:G$369 &amp; H$2:H$369))</f>
        <v>148</v>
      </c>
      <c r="F241" s="8" t="s">
        <v>515</v>
      </c>
      <c r="G241" s="8" t="s">
        <v>858</v>
      </c>
      <c r="H241" s="8" t="s">
        <v>52</v>
      </c>
      <c r="I241" s="8" t="s">
        <v>516</v>
      </c>
      <c r="J241" s="7"/>
      <c r="K241" s="8" t="s">
        <v>22</v>
      </c>
      <c r="L241" s="8" t="s">
        <v>134</v>
      </c>
      <c r="M241" s="8" t="s">
        <v>660</v>
      </c>
      <c r="N241" s="8" t="s">
        <v>859</v>
      </c>
      <c r="O241" s="13">
        <v>400000</v>
      </c>
      <c r="P241" s="6">
        <v>100000</v>
      </c>
      <c r="Q241" s="7">
        <v>24</v>
      </c>
      <c r="R241" s="8" t="s">
        <v>860</v>
      </c>
      <c r="S241" s="15"/>
    </row>
    <row r="242" spans="1:19" x14ac:dyDescent="0.25">
      <c r="A242" s="10">
        <f t="shared" si="8"/>
        <v>2024</v>
      </c>
      <c r="B242" s="11" t="str">
        <f t="shared" si="9"/>
        <v>September</v>
      </c>
      <c r="C242" s="12">
        <v>45545</v>
      </c>
      <c r="D242" s="8">
        <v>1993</v>
      </c>
      <c r="E242" s="7" cm="1">
        <f t="array" ref="E242">_xlfn.XMATCH(F242&amp;G242&amp;H242, _xlfn.UNIQUE(F$2:F$369 &amp; G$2:G$369 &amp; H$2:H$369))</f>
        <v>149</v>
      </c>
      <c r="F242" s="8" t="s">
        <v>485</v>
      </c>
      <c r="G242" s="8" t="s">
        <v>842</v>
      </c>
      <c r="H242" s="8" t="s">
        <v>819</v>
      </c>
      <c r="I242" s="8" t="s">
        <v>861</v>
      </c>
      <c r="J242" s="7"/>
      <c r="K242" s="8" t="s">
        <v>22</v>
      </c>
      <c r="L242" s="8" t="s">
        <v>134</v>
      </c>
      <c r="M242" s="8" t="s">
        <v>660</v>
      </c>
      <c r="N242" s="8" t="s">
        <v>862</v>
      </c>
      <c r="O242" s="13">
        <v>430000</v>
      </c>
      <c r="P242" s="6">
        <v>50000</v>
      </c>
      <c r="Q242" s="7">
        <v>24</v>
      </c>
      <c r="R242" s="8" t="s">
        <v>860</v>
      </c>
      <c r="S242" s="15"/>
    </row>
    <row r="243" spans="1:19" x14ac:dyDescent="0.25">
      <c r="A243" s="10">
        <f t="shared" si="8"/>
        <v>2024</v>
      </c>
      <c r="B243" s="11" t="str">
        <f t="shared" si="9"/>
        <v>September</v>
      </c>
      <c r="C243" s="12">
        <v>45547</v>
      </c>
      <c r="D243" s="8">
        <v>1994</v>
      </c>
      <c r="E243" s="7" cm="1">
        <f t="array" ref="E243">_xlfn.XMATCH(F243&amp;G243&amp;H243, _xlfn.UNIQUE(F$2:F$369 &amp; G$2:G$369 &amp; H$2:H$369))</f>
        <v>117</v>
      </c>
      <c r="F243" s="8" t="s">
        <v>641</v>
      </c>
      <c r="G243" s="8" t="s">
        <v>642</v>
      </c>
      <c r="H243" s="8" t="s">
        <v>606</v>
      </c>
      <c r="I243" s="8" t="s">
        <v>863</v>
      </c>
      <c r="J243" s="7"/>
      <c r="K243" s="8" t="s">
        <v>809</v>
      </c>
      <c r="L243" s="8" t="s">
        <v>675</v>
      </c>
      <c r="M243" s="8" t="s">
        <v>660</v>
      </c>
      <c r="N243" s="8" t="s">
        <v>864</v>
      </c>
      <c r="O243" s="13">
        <v>385000</v>
      </c>
      <c r="P243" s="6">
        <v>77000</v>
      </c>
      <c r="Q243" s="7">
        <v>24</v>
      </c>
      <c r="R243" s="8" t="s">
        <v>865</v>
      </c>
      <c r="S243" s="15"/>
    </row>
    <row r="244" spans="1:19" x14ac:dyDescent="0.25">
      <c r="A244" s="10">
        <f t="shared" si="8"/>
        <v>2024</v>
      </c>
      <c r="B244" s="11" t="str">
        <f t="shared" si="9"/>
        <v>September</v>
      </c>
      <c r="C244" s="12">
        <v>45553</v>
      </c>
      <c r="D244" s="8">
        <v>2189</v>
      </c>
      <c r="E244" s="7" cm="1">
        <f t="array" ref="E244">_xlfn.XMATCH(F244&amp;G244&amp;H244, _xlfn.UNIQUE(F$2:F$369 &amp; G$2:G$369 &amp; H$2:H$369))</f>
        <v>47</v>
      </c>
      <c r="F244" s="8" t="s">
        <v>266</v>
      </c>
      <c r="G244" s="8" t="s">
        <v>26</v>
      </c>
      <c r="H244" s="8" t="s">
        <v>27</v>
      </c>
      <c r="I244" s="8"/>
      <c r="J244" s="7"/>
      <c r="K244" s="8" t="s">
        <v>22</v>
      </c>
      <c r="L244" s="8" t="s">
        <v>134</v>
      </c>
      <c r="M244" s="8" t="s">
        <v>660</v>
      </c>
      <c r="N244" s="8" t="s">
        <v>866</v>
      </c>
      <c r="O244" s="13">
        <v>450000</v>
      </c>
      <c r="P244" s="6">
        <v>0</v>
      </c>
      <c r="Q244" s="7">
        <v>20</v>
      </c>
      <c r="R244" s="8" t="s">
        <v>867</v>
      </c>
      <c r="S244" s="15"/>
    </row>
    <row r="245" spans="1:19" x14ac:dyDescent="0.25">
      <c r="A245" s="10">
        <f t="shared" si="8"/>
        <v>2024</v>
      </c>
      <c r="B245" s="11" t="str">
        <f t="shared" si="9"/>
        <v>September</v>
      </c>
      <c r="C245" s="12">
        <v>45559</v>
      </c>
      <c r="D245" s="8">
        <v>2422</v>
      </c>
      <c r="E245" s="7" cm="1">
        <f t="array" ref="E245">_xlfn.XMATCH(F245&amp;G245&amp;H245, _xlfn.UNIQUE(F$2:F$369 &amp; G$2:G$369 &amp; H$2:H$369))</f>
        <v>126</v>
      </c>
      <c r="F245" s="8" t="s">
        <v>713</v>
      </c>
      <c r="G245" s="8" t="s">
        <v>714</v>
      </c>
      <c r="H245" s="8" t="s">
        <v>52</v>
      </c>
      <c r="I245" s="8"/>
      <c r="J245" s="7"/>
      <c r="K245" s="8" t="s">
        <v>78</v>
      </c>
      <c r="L245" s="8" t="s">
        <v>801</v>
      </c>
      <c r="M245" s="8" t="s">
        <v>660</v>
      </c>
      <c r="N245" s="41">
        <v>63110123200049</v>
      </c>
      <c r="O245" s="13">
        <v>400000</v>
      </c>
      <c r="P245" s="6">
        <v>100000</v>
      </c>
      <c r="Q245" s="7">
        <v>24</v>
      </c>
      <c r="R245" s="8" t="s">
        <v>868</v>
      </c>
      <c r="S245" s="15"/>
    </row>
    <row r="246" spans="1:19" x14ac:dyDescent="0.25">
      <c r="A246" s="10">
        <f t="shared" si="8"/>
        <v>2024</v>
      </c>
      <c r="B246" s="11" t="str">
        <f t="shared" si="9"/>
        <v>September</v>
      </c>
      <c r="C246" s="12">
        <v>45559</v>
      </c>
      <c r="D246" s="8">
        <v>2424</v>
      </c>
      <c r="E246" s="7" cm="1">
        <f t="array" ref="E246">_xlfn.XMATCH(F246&amp;G246&amp;H246, _xlfn.UNIQUE(F$2:F$369 &amp; G$2:G$369 &amp; H$2:H$369))</f>
        <v>150</v>
      </c>
      <c r="F246" s="8" t="s">
        <v>869</v>
      </c>
      <c r="G246" s="8" t="s">
        <v>870</v>
      </c>
      <c r="H246" s="8" t="s">
        <v>52</v>
      </c>
      <c r="I246" s="8"/>
      <c r="J246" s="7"/>
      <c r="K246" s="8" t="s">
        <v>22</v>
      </c>
      <c r="L246" s="8" t="s">
        <v>134</v>
      </c>
      <c r="M246" s="8" t="s">
        <v>660</v>
      </c>
      <c r="N246" s="8" t="s">
        <v>871</v>
      </c>
      <c r="O246" s="13">
        <v>300000</v>
      </c>
      <c r="P246" s="6">
        <v>100000</v>
      </c>
      <c r="Q246" s="7">
        <v>24</v>
      </c>
      <c r="R246" s="8" t="s">
        <v>867</v>
      </c>
      <c r="S246" s="15"/>
    </row>
    <row r="247" spans="1:19" x14ac:dyDescent="0.25">
      <c r="A247" s="10">
        <f t="shared" si="8"/>
        <v>2024</v>
      </c>
      <c r="B247" s="11" t="str">
        <f t="shared" si="9"/>
        <v>September</v>
      </c>
      <c r="C247" s="12">
        <v>45560</v>
      </c>
      <c r="D247" s="8">
        <v>2192</v>
      </c>
      <c r="E247" s="7" cm="1">
        <f t="array" ref="E247">_xlfn.XMATCH(F247&amp;G247&amp;H247, _xlfn.UNIQUE(F$2:F$369 &amp; G$2:G$369 &amp; H$2:H$369))</f>
        <v>151</v>
      </c>
      <c r="F247" s="8" t="s">
        <v>872</v>
      </c>
      <c r="G247" s="8" t="s">
        <v>642</v>
      </c>
      <c r="H247" s="8" t="s">
        <v>606</v>
      </c>
      <c r="I247" s="8"/>
      <c r="J247" s="7"/>
      <c r="K247" s="8" t="s">
        <v>22</v>
      </c>
      <c r="L247" s="8" t="s">
        <v>134</v>
      </c>
      <c r="M247" s="8" t="s">
        <v>660</v>
      </c>
      <c r="N247" s="8" t="s">
        <v>873</v>
      </c>
      <c r="O247" s="13">
        <v>400000</v>
      </c>
      <c r="P247" s="6">
        <v>100000</v>
      </c>
      <c r="Q247" s="7">
        <v>24</v>
      </c>
      <c r="R247" s="8" t="s">
        <v>867</v>
      </c>
      <c r="S247" s="15"/>
    </row>
    <row r="248" spans="1:19" x14ac:dyDescent="0.25">
      <c r="A248" s="10">
        <f t="shared" si="8"/>
        <v>2024</v>
      </c>
      <c r="B248" s="11" t="str">
        <f t="shared" si="9"/>
        <v>September</v>
      </c>
      <c r="C248" s="12">
        <v>45561</v>
      </c>
      <c r="D248" s="8">
        <v>1996</v>
      </c>
      <c r="E248" s="7" cm="1">
        <f t="array" ref="E248">_xlfn.XMATCH(F248&amp;G248&amp;H248, _xlfn.UNIQUE(F$2:F$369 &amp; G$2:G$369 &amp; H$2:H$369))</f>
        <v>81</v>
      </c>
      <c r="F248" s="8" t="s">
        <v>459</v>
      </c>
      <c r="G248" s="8" t="s">
        <v>460</v>
      </c>
      <c r="H248" s="8" t="s">
        <v>461</v>
      </c>
      <c r="I248" s="8" t="s">
        <v>874</v>
      </c>
      <c r="J248" s="7"/>
      <c r="K248" s="8" t="s">
        <v>78</v>
      </c>
      <c r="L248" s="8" t="s">
        <v>801</v>
      </c>
      <c r="M248" s="8" t="s">
        <v>660</v>
      </c>
      <c r="N248" s="41">
        <v>63110123200066</v>
      </c>
      <c r="O248" s="13">
        <v>430000</v>
      </c>
      <c r="P248" s="6">
        <v>100000</v>
      </c>
      <c r="Q248" s="7">
        <v>24</v>
      </c>
      <c r="R248" s="8" t="s">
        <v>875</v>
      </c>
      <c r="S248" s="15"/>
    </row>
    <row r="249" spans="1:19" x14ac:dyDescent="0.25">
      <c r="A249" s="10">
        <f t="shared" si="8"/>
        <v>2024</v>
      </c>
      <c r="B249" s="11" t="str">
        <f t="shared" si="9"/>
        <v>September</v>
      </c>
      <c r="C249" s="12">
        <v>45565</v>
      </c>
      <c r="D249" s="8">
        <v>2365</v>
      </c>
      <c r="E249" s="7" cm="1">
        <f t="array" ref="E249">_xlfn.XMATCH(F249&amp;G249&amp;H249, _xlfn.UNIQUE(F$2:F$369 &amp; G$2:G$369 &amp; H$2:H$369))</f>
        <v>152</v>
      </c>
      <c r="F249" s="8" t="s">
        <v>876</v>
      </c>
      <c r="G249" s="8" t="s">
        <v>877</v>
      </c>
      <c r="H249" s="8" t="s">
        <v>500</v>
      </c>
      <c r="I249" s="8" t="s">
        <v>878</v>
      </c>
      <c r="J249" s="7"/>
      <c r="K249" s="8" t="s">
        <v>78</v>
      </c>
      <c r="L249" s="8" t="s">
        <v>801</v>
      </c>
      <c r="M249" s="8" t="s">
        <v>660</v>
      </c>
      <c r="N249" s="41">
        <v>6311012320072</v>
      </c>
      <c r="O249" s="13">
        <v>420000</v>
      </c>
      <c r="P249" s="6">
        <v>100000</v>
      </c>
      <c r="Q249" s="7">
        <v>24</v>
      </c>
      <c r="R249" s="8" t="s">
        <v>879</v>
      </c>
      <c r="S249" s="15"/>
    </row>
    <row r="250" spans="1:19" x14ac:dyDescent="0.25">
      <c r="A250" s="10">
        <f t="shared" si="8"/>
        <v>2024</v>
      </c>
      <c r="B250" s="11" t="str">
        <f t="shared" si="9"/>
        <v>September</v>
      </c>
      <c r="C250" s="12">
        <v>45565</v>
      </c>
      <c r="D250" s="8">
        <v>2366</v>
      </c>
      <c r="E250" s="7" cm="1">
        <f t="array" ref="E250">_xlfn.XMATCH(F250&amp;G250&amp;H250, _xlfn.UNIQUE(F$2:F$369 &amp; G$2:G$369 &amp; H$2:H$369))</f>
        <v>152</v>
      </c>
      <c r="F250" s="8" t="s">
        <v>876</v>
      </c>
      <c r="G250" s="8" t="s">
        <v>877</v>
      </c>
      <c r="H250" s="8" t="s">
        <v>500</v>
      </c>
      <c r="I250" s="8" t="s">
        <v>878</v>
      </c>
      <c r="J250" s="7"/>
      <c r="K250" s="8" t="s">
        <v>22</v>
      </c>
      <c r="L250" s="8" t="s">
        <v>134</v>
      </c>
      <c r="M250" s="8" t="s">
        <v>660</v>
      </c>
      <c r="N250" s="8" t="s">
        <v>880</v>
      </c>
      <c r="O250" s="13">
        <v>400000</v>
      </c>
      <c r="P250" s="6">
        <v>100000</v>
      </c>
      <c r="Q250" s="7">
        <v>24</v>
      </c>
      <c r="R250" s="8" t="s">
        <v>867</v>
      </c>
      <c r="S250" s="15"/>
    </row>
    <row r="251" spans="1:19" x14ac:dyDescent="0.25">
      <c r="A251" s="10">
        <f t="shared" si="8"/>
        <v>2024</v>
      </c>
      <c r="B251" s="11" t="str">
        <f t="shared" si="9"/>
        <v>October</v>
      </c>
      <c r="C251" s="12">
        <v>45575</v>
      </c>
      <c r="D251" s="8">
        <v>2367</v>
      </c>
      <c r="E251" s="7" cm="1">
        <f t="array" ref="E251">_xlfn.XMATCH(F251&amp;G251&amp;H251, _xlfn.UNIQUE(F$2:F$369 &amp; G$2:G$369 &amp; H$2:H$369))</f>
        <v>153</v>
      </c>
      <c r="F251" s="8" t="s">
        <v>881</v>
      </c>
      <c r="G251" s="8" t="s">
        <v>882</v>
      </c>
      <c r="H251" s="8" t="s">
        <v>467</v>
      </c>
      <c r="I251" s="8"/>
      <c r="J251" s="7"/>
      <c r="K251" s="8" t="s">
        <v>22</v>
      </c>
      <c r="L251" s="8" t="s">
        <v>134</v>
      </c>
      <c r="M251" s="8" t="s">
        <v>660</v>
      </c>
      <c r="N251" s="8" t="s">
        <v>883</v>
      </c>
      <c r="O251" s="13">
        <v>350000</v>
      </c>
      <c r="P251" s="6">
        <v>100000</v>
      </c>
      <c r="Q251" s="7">
        <v>12</v>
      </c>
      <c r="R251" s="8" t="s">
        <v>849</v>
      </c>
      <c r="S251" s="15"/>
    </row>
    <row r="252" spans="1:19" x14ac:dyDescent="0.25">
      <c r="A252" s="10">
        <f t="shared" si="8"/>
        <v>2024</v>
      </c>
      <c r="B252" s="11" t="str">
        <f t="shared" si="9"/>
        <v>October</v>
      </c>
      <c r="C252" s="12">
        <v>45583</v>
      </c>
      <c r="D252" s="8">
        <v>2449</v>
      </c>
      <c r="E252" s="7" cm="1">
        <f t="array" ref="E252">_xlfn.XMATCH(F252&amp;G252&amp;H252, _xlfn.UNIQUE(F$2:F$369 &amp; G$2:G$369 &amp; H$2:H$369))</f>
        <v>95</v>
      </c>
      <c r="F252" s="8" t="s">
        <v>529</v>
      </c>
      <c r="G252" s="8" t="s">
        <v>530</v>
      </c>
      <c r="H252" s="8" t="s">
        <v>64</v>
      </c>
      <c r="I252" s="8" t="s">
        <v>884</v>
      </c>
      <c r="J252" s="7"/>
      <c r="K252" s="8" t="s">
        <v>78</v>
      </c>
      <c r="L252" s="8" t="s">
        <v>801</v>
      </c>
      <c r="M252" s="8" t="s">
        <v>84</v>
      </c>
      <c r="N252" s="41">
        <v>63110123200076</v>
      </c>
      <c r="O252" s="13">
        <v>430000</v>
      </c>
      <c r="P252" s="6">
        <v>50000</v>
      </c>
      <c r="Q252" s="7">
        <v>36</v>
      </c>
      <c r="R252" s="8" t="s">
        <v>885</v>
      </c>
      <c r="S252" s="15"/>
    </row>
    <row r="253" spans="1:19" x14ac:dyDescent="0.25">
      <c r="A253" s="10">
        <f t="shared" si="8"/>
        <v>2024</v>
      </c>
      <c r="B253" s="11" t="str">
        <f t="shared" si="9"/>
        <v>October</v>
      </c>
      <c r="C253" s="12">
        <v>45583</v>
      </c>
      <c r="D253" s="8">
        <v>2450</v>
      </c>
      <c r="E253" s="7" cm="1">
        <f t="array" ref="E253">_xlfn.XMATCH(F253&amp;G253&amp;H253, _xlfn.UNIQUE(F$2:F$369 &amp; G$2:G$369 &amp; H$2:H$369))</f>
        <v>154</v>
      </c>
      <c r="F253" s="8" t="s">
        <v>886</v>
      </c>
      <c r="G253" s="8" t="s">
        <v>887</v>
      </c>
      <c r="H253" s="8" t="s">
        <v>52</v>
      </c>
      <c r="I253" s="8"/>
      <c r="J253" s="7"/>
      <c r="K253" s="8" t="s">
        <v>22</v>
      </c>
      <c r="L253" s="8" t="s">
        <v>134</v>
      </c>
      <c r="M253" s="8" t="s">
        <v>660</v>
      </c>
      <c r="N253" s="8" t="s">
        <v>888</v>
      </c>
      <c r="O253" s="13">
        <v>430000</v>
      </c>
      <c r="P253" s="6">
        <v>50000</v>
      </c>
      <c r="Q253" s="7">
        <v>36</v>
      </c>
      <c r="R253" s="8" t="s">
        <v>889</v>
      </c>
      <c r="S253" s="15"/>
    </row>
    <row r="254" spans="1:19" x14ac:dyDescent="0.25">
      <c r="A254" s="10">
        <f t="shared" si="8"/>
        <v>2024</v>
      </c>
      <c r="B254" s="11" t="str">
        <f t="shared" si="9"/>
        <v>October</v>
      </c>
      <c r="C254" s="12">
        <v>45583</v>
      </c>
      <c r="D254" s="8">
        <v>2197</v>
      </c>
      <c r="E254" s="7" cm="1">
        <f t="array" ref="E254">_xlfn.XMATCH(F254&amp;G254&amp;H254, _xlfn.UNIQUE(F$2:F$369 &amp; G$2:G$369 &amp; H$2:H$369))</f>
        <v>154</v>
      </c>
      <c r="F254" s="8" t="s">
        <v>886</v>
      </c>
      <c r="G254" s="8" t="s">
        <v>887</v>
      </c>
      <c r="H254" s="8" t="s">
        <v>52</v>
      </c>
      <c r="I254" s="8"/>
      <c r="J254" s="7"/>
      <c r="K254" s="8" t="s">
        <v>78</v>
      </c>
      <c r="L254" s="8" t="s">
        <v>801</v>
      </c>
      <c r="M254" s="8" t="s">
        <v>660</v>
      </c>
      <c r="N254" s="41">
        <v>63110123200093</v>
      </c>
      <c r="O254" s="13">
        <v>430000</v>
      </c>
      <c r="P254" s="6">
        <v>50000</v>
      </c>
      <c r="Q254" s="7">
        <v>36</v>
      </c>
      <c r="R254" s="8" t="s">
        <v>890</v>
      </c>
      <c r="S254" s="36"/>
    </row>
    <row r="255" spans="1:19" x14ac:dyDescent="0.25">
      <c r="A255" s="10">
        <f t="shared" si="8"/>
        <v>2024</v>
      </c>
      <c r="B255" s="11" t="str">
        <f t="shared" si="9"/>
        <v>October</v>
      </c>
      <c r="C255" s="12">
        <v>45589</v>
      </c>
      <c r="D255" s="8">
        <v>2470</v>
      </c>
      <c r="E255" s="7" cm="1">
        <f t="array" ref="E255">_xlfn.XMATCH(F255&amp;G255&amp;H255, _xlfn.UNIQUE(F$2:F$369 &amp; G$2:G$369 &amp; H$2:H$369))</f>
        <v>155</v>
      </c>
      <c r="F255" s="8" t="s">
        <v>891</v>
      </c>
      <c r="G255" s="8" t="s">
        <v>892</v>
      </c>
      <c r="H255" s="8" t="s">
        <v>500</v>
      </c>
      <c r="I255" s="8"/>
      <c r="J255" s="7"/>
      <c r="K255" s="8" t="s">
        <v>22</v>
      </c>
      <c r="L255" s="8" t="s">
        <v>134</v>
      </c>
      <c r="M255" s="8" t="s">
        <v>660</v>
      </c>
      <c r="N255" s="8" t="s">
        <v>893</v>
      </c>
      <c r="O255" s="13">
        <v>430000</v>
      </c>
      <c r="P255" s="6">
        <v>50000</v>
      </c>
      <c r="Q255" s="7">
        <v>24</v>
      </c>
      <c r="R255" s="8" t="s">
        <v>889</v>
      </c>
      <c r="S255" s="36"/>
    </row>
    <row r="256" spans="1:19" x14ac:dyDescent="0.25">
      <c r="A256" s="33">
        <f t="shared" si="8"/>
        <v>2024</v>
      </c>
      <c r="B256" s="34" t="str">
        <f t="shared" si="9"/>
        <v>November</v>
      </c>
      <c r="C256" s="35">
        <v>45616</v>
      </c>
      <c r="D256" s="36">
        <v>2265</v>
      </c>
      <c r="E256" s="7" cm="1">
        <f t="array" ref="E256">_xlfn.XMATCH(F256&amp;G256&amp;H256, _xlfn.UNIQUE(F$2:F$369 &amp; G$2:G$369 &amp; H$2:H$369))</f>
        <v>156</v>
      </c>
      <c r="F256" s="36" t="s">
        <v>894</v>
      </c>
      <c r="G256" s="36" t="s">
        <v>842</v>
      </c>
      <c r="H256" s="36" t="s">
        <v>819</v>
      </c>
      <c r="I256" s="36" t="s">
        <v>895</v>
      </c>
      <c r="J256" s="39"/>
      <c r="K256" s="36" t="s">
        <v>22</v>
      </c>
      <c r="L256" s="36" t="s">
        <v>134</v>
      </c>
      <c r="M256" s="36" t="s">
        <v>660</v>
      </c>
      <c r="N256" s="36" t="s">
        <v>896</v>
      </c>
      <c r="O256" s="37">
        <v>400000</v>
      </c>
      <c r="P256" s="38">
        <v>50000</v>
      </c>
      <c r="Q256" s="39">
        <v>36</v>
      </c>
      <c r="R256" s="36" t="s">
        <v>897</v>
      </c>
      <c r="S256" s="36" t="s">
        <v>898</v>
      </c>
    </row>
    <row r="257" spans="1:19" x14ac:dyDescent="0.25">
      <c r="A257" s="33">
        <f t="shared" si="8"/>
        <v>2024</v>
      </c>
      <c r="B257" s="34" t="str">
        <f t="shared" si="9"/>
        <v>November</v>
      </c>
      <c r="C257" s="35">
        <v>45616</v>
      </c>
      <c r="D257" s="36">
        <v>2266</v>
      </c>
      <c r="E257" s="7" cm="1">
        <f t="array" ref="E257">_xlfn.XMATCH(F257&amp;G257&amp;H257, _xlfn.UNIQUE(F$2:F$369 &amp; G$2:G$369 &amp; H$2:H$369))</f>
        <v>156</v>
      </c>
      <c r="F257" s="36" t="s">
        <v>894</v>
      </c>
      <c r="G257" s="36" t="s">
        <v>842</v>
      </c>
      <c r="H257" s="36" t="s">
        <v>819</v>
      </c>
      <c r="I257" s="36" t="s">
        <v>895</v>
      </c>
      <c r="J257" s="7"/>
      <c r="K257" s="36" t="s">
        <v>78</v>
      </c>
      <c r="L257" s="36" t="s">
        <v>801</v>
      </c>
      <c r="M257" s="36" t="s">
        <v>660</v>
      </c>
      <c r="N257" s="44">
        <v>63081823200082</v>
      </c>
      <c r="O257" s="37">
        <v>400000</v>
      </c>
      <c r="P257" s="38">
        <v>50000</v>
      </c>
      <c r="Q257" s="39">
        <v>36</v>
      </c>
      <c r="R257" s="36" t="s">
        <v>899</v>
      </c>
      <c r="S257" s="36" t="s">
        <v>900</v>
      </c>
    </row>
    <row r="258" spans="1:19" x14ac:dyDescent="0.25">
      <c r="A258" s="10">
        <f t="shared" si="8"/>
        <v>2024</v>
      </c>
      <c r="B258" s="11" t="str">
        <f t="shared" si="9"/>
        <v>November</v>
      </c>
      <c r="C258" s="12">
        <v>45619</v>
      </c>
      <c r="D258" s="8">
        <v>2267</v>
      </c>
      <c r="E258" s="7" cm="1">
        <f t="array" ref="E258">_xlfn.XMATCH(F258&amp;G258&amp;H258, _xlfn.UNIQUE(F$2:F$369 &amp; G$2:G$369 &amp; H$2:H$369))</f>
        <v>142</v>
      </c>
      <c r="F258" s="8" t="s">
        <v>826</v>
      </c>
      <c r="G258" s="8" t="s">
        <v>827</v>
      </c>
      <c r="H258" s="8" t="s">
        <v>819</v>
      </c>
      <c r="I258" s="8" t="s">
        <v>828</v>
      </c>
      <c r="J258" s="7"/>
      <c r="K258" s="8" t="s">
        <v>78</v>
      </c>
      <c r="L258" s="8" t="s">
        <v>801</v>
      </c>
      <c r="M258" s="8" t="s">
        <v>660</v>
      </c>
      <c r="N258" s="41">
        <v>63090823200032</v>
      </c>
      <c r="O258" s="13">
        <v>400000</v>
      </c>
      <c r="P258" s="6">
        <v>50000</v>
      </c>
      <c r="Q258" s="7">
        <v>36</v>
      </c>
      <c r="R258" s="8" t="s">
        <v>901</v>
      </c>
      <c r="S258" s="15"/>
    </row>
    <row r="259" spans="1:19" x14ac:dyDescent="0.25">
      <c r="A259" s="10">
        <f t="shared" si="8"/>
        <v>2024</v>
      </c>
      <c r="B259" s="11" t="str">
        <f t="shared" si="9"/>
        <v>November</v>
      </c>
      <c r="C259" s="12">
        <v>45624</v>
      </c>
      <c r="D259" s="8">
        <v>2268</v>
      </c>
      <c r="E259" s="7" cm="1">
        <f t="array" ref="E259">_xlfn.XMATCH(F259&amp;G259&amp;H259, _xlfn.UNIQUE(F$2:F$369 &amp; G$2:G$369 &amp; H$2:H$369))</f>
        <v>157</v>
      </c>
      <c r="F259" s="8" t="s">
        <v>902</v>
      </c>
      <c r="G259" s="8" t="s">
        <v>903</v>
      </c>
      <c r="H259" s="8" t="s">
        <v>600</v>
      </c>
      <c r="I259" s="8" t="s">
        <v>904</v>
      </c>
      <c r="J259" s="7"/>
      <c r="K259" s="8" t="s">
        <v>22</v>
      </c>
      <c r="L259" s="8" t="s">
        <v>134</v>
      </c>
      <c r="M259" s="8" t="s">
        <v>660</v>
      </c>
      <c r="N259" s="8" t="s">
        <v>905</v>
      </c>
      <c r="O259" s="13">
        <v>400000</v>
      </c>
      <c r="P259" s="6">
        <v>50000</v>
      </c>
      <c r="Q259" s="7">
        <v>36</v>
      </c>
      <c r="R259" s="8" t="s">
        <v>897</v>
      </c>
      <c r="S259" s="15"/>
    </row>
    <row r="260" spans="1:19" x14ac:dyDescent="0.25">
      <c r="A260" s="10">
        <f t="shared" si="8"/>
        <v>2024</v>
      </c>
      <c r="B260" s="11" t="str">
        <f t="shared" si="9"/>
        <v>December</v>
      </c>
      <c r="C260" s="12">
        <v>45639</v>
      </c>
      <c r="D260" s="8">
        <v>2285</v>
      </c>
      <c r="E260" s="7" cm="1">
        <f t="array" ref="E260">_xlfn.XMATCH(F260&amp;G260&amp;H260, _xlfn.UNIQUE(F$2:F$369 &amp; G$2:G$369 &amp; H$2:H$369))</f>
        <v>158</v>
      </c>
      <c r="F260" s="8" t="s">
        <v>906</v>
      </c>
      <c r="G260" s="8" t="s">
        <v>525</v>
      </c>
      <c r="H260" s="8" t="s">
        <v>606</v>
      </c>
      <c r="I260" s="8"/>
      <c r="J260" s="7"/>
      <c r="K260" s="8" t="s">
        <v>22</v>
      </c>
      <c r="L260" s="8" t="s">
        <v>134</v>
      </c>
      <c r="M260" s="8" t="s">
        <v>660</v>
      </c>
      <c r="N260" s="8" t="s">
        <v>907</v>
      </c>
      <c r="O260" s="13">
        <v>450000</v>
      </c>
      <c r="P260" s="6">
        <v>50000</v>
      </c>
      <c r="Q260" s="7">
        <v>36</v>
      </c>
      <c r="R260" s="8" t="s">
        <v>897</v>
      </c>
      <c r="S260" s="15"/>
    </row>
    <row r="261" spans="1:19" x14ac:dyDescent="0.25">
      <c r="A261" s="10">
        <f t="shared" si="8"/>
        <v>2025</v>
      </c>
      <c r="B261" s="11" t="str">
        <f t="shared" si="9"/>
        <v>January</v>
      </c>
      <c r="C261" s="12">
        <v>45672</v>
      </c>
      <c r="D261" s="8">
        <v>2571</v>
      </c>
      <c r="E261" s="7" cm="1">
        <f t="array" ref="E261">_xlfn.XMATCH(F261&amp;G261&amp;H261, _xlfn.UNIQUE(F$2:F$369 &amp; G$2:G$369 &amp; H$2:H$369))</f>
        <v>159</v>
      </c>
      <c r="F261" s="8" t="s">
        <v>908</v>
      </c>
      <c r="G261" s="8" t="s">
        <v>909</v>
      </c>
      <c r="H261" s="8" t="s">
        <v>56</v>
      </c>
      <c r="I261" s="8" t="s">
        <v>910</v>
      </c>
      <c r="J261" s="7"/>
      <c r="K261" s="8" t="s">
        <v>22</v>
      </c>
      <c r="L261" s="8" t="s">
        <v>134</v>
      </c>
      <c r="M261" s="8" t="s">
        <v>660</v>
      </c>
      <c r="N261" s="8" t="s">
        <v>911</v>
      </c>
      <c r="O261" s="13">
        <v>450000</v>
      </c>
      <c r="P261" s="6">
        <v>100000</v>
      </c>
      <c r="Q261" s="7">
        <v>36</v>
      </c>
      <c r="R261" s="8" t="s">
        <v>897</v>
      </c>
      <c r="S261" s="15"/>
    </row>
    <row r="262" spans="1:19" x14ac:dyDescent="0.25">
      <c r="A262" s="10">
        <f t="shared" si="8"/>
        <v>2025</v>
      </c>
      <c r="B262" s="11" t="str">
        <f t="shared" si="9"/>
        <v>February</v>
      </c>
      <c r="C262" s="12">
        <v>45698</v>
      </c>
      <c r="D262" s="8">
        <v>2761</v>
      </c>
      <c r="E262" s="7" cm="1">
        <f t="array" ref="E262">_xlfn.XMATCH(F262&amp;G262&amp;H262, _xlfn.UNIQUE(F$2:F$369 &amp; G$2:G$369 &amp; H$2:H$369))</f>
        <v>160</v>
      </c>
      <c r="F262" s="8" t="s">
        <v>912</v>
      </c>
      <c r="G262" s="8" t="s">
        <v>913</v>
      </c>
      <c r="H262" s="8" t="s">
        <v>819</v>
      </c>
      <c r="I262" s="8" t="s">
        <v>914</v>
      </c>
      <c r="J262" s="7"/>
      <c r="K262" s="8" t="s">
        <v>22</v>
      </c>
      <c r="L262" s="8" t="s">
        <v>134</v>
      </c>
      <c r="M262" s="8" t="s">
        <v>660</v>
      </c>
      <c r="N262" s="8" t="s">
        <v>915</v>
      </c>
      <c r="O262" s="13">
        <v>450000</v>
      </c>
      <c r="P262" s="6">
        <v>50000</v>
      </c>
      <c r="Q262" s="7">
        <v>36</v>
      </c>
      <c r="R262" s="8" t="s">
        <v>897</v>
      </c>
      <c r="S262" s="15"/>
    </row>
    <row r="263" spans="1:19" x14ac:dyDescent="0.25">
      <c r="A263" s="10">
        <f t="shared" si="8"/>
        <v>2025</v>
      </c>
      <c r="B263" s="11" t="str">
        <f t="shared" si="9"/>
        <v>February</v>
      </c>
      <c r="C263" s="12">
        <v>45700</v>
      </c>
      <c r="D263" s="8">
        <v>2762</v>
      </c>
      <c r="E263" s="7" cm="1">
        <f t="array" ref="E263">_xlfn.XMATCH(F263&amp;G263&amp;H263, _xlfn.UNIQUE(F$2:F$369 &amp; G$2:G$369 &amp; H$2:H$369))</f>
        <v>161</v>
      </c>
      <c r="F263" s="8" t="s">
        <v>916</v>
      </c>
      <c r="G263" s="8" t="s">
        <v>917</v>
      </c>
      <c r="H263" s="8" t="s">
        <v>819</v>
      </c>
      <c r="I263" s="8" t="s">
        <v>918</v>
      </c>
      <c r="J263" s="7"/>
      <c r="K263" s="8" t="s">
        <v>22</v>
      </c>
      <c r="L263" s="8" t="s">
        <v>134</v>
      </c>
      <c r="M263" s="8" t="s">
        <v>660</v>
      </c>
      <c r="N263" s="8" t="s">
        <v>919</v>
      </c>
      <c r="O263" s="13">
        <v>400000</v>
      </c>
      <c r="P263" s="6">
        <v>50000</v>
      </c>
      <c r="Q263" s="7">
        <v>36</v>
      </c>
      <c r="R263" s="8" t="s">
        <v>897</v>
      </c>
      <c r="S263" s="15"/>
    </row>
    <row r="264" spans="1:19" x14ac:dyDescent="0.25">
      <c r="A264" s="10">
        <f t="shared" si="8"/>
        <v>2025</v>
      </c>
      <c r="B264" s="11" t="str">
        <f t="shared" si="9"/>
        <v>February</v>
      </c>
      <c r="C264" s="12">
        <v>45700</v>
      </c>
      <c r="D264" s="8">
        <v>2763</v>
      </c>
      <c r="E264" s="7" cm="1">
        <f t="array" ref="E264">_xlfn.XMATCH(F264&amp;G264&amp;H264, _xlfn.UNIQUE(F$2:F$369 &amp; G$2:G$369 &amp; H$2:H$369))</f>
        <v>161</v>
      </c>
      <c r="F264" s="8" t="s">
        <v>916</v>
      </c>
      <c r="G264" s="8" t="s">
        <v>917</v>
      </c>
      <c r="H264" s="8" t="s">
        <v>819</v>
      </c>
      <c r="I264" s="8" t="s">
        <v>918</v>
      </c>
      <c r="J264" s="7"/>
      <c r="K264" s="8" t="s">
        <v>78</v>
      </c>
      <c r="L264" s="8" t="s">
        <v>801</v>
      </c>
      <c r="M264" s="8" t="s">
        <v>660</v>
      </c>
      <c r="N264" s="41">
        <v>63110123200097</v>
      </c>
      <c r="O264" s="13">
        <v>400000</v>
      </c>
      <c r="P264" s="6">
        <v>50000</v>
      </c>
      <c r="Q264" s="7">
        <v>36</v>
      </c>
      <c r="R264" s="8" t="s">
        <v>890</v>
      </c>
      <c r="S264" s="15"/>
    </row>
    <row r="265" spans="1:19" x14ac:dyDescent="0.25">
      <c r="A265" s="10">
        <f t="shared" si="8"/>
        <v>2025</v>
      </c>
      <c r="B265" s="11" t="str">
        <f t="shared" si="9"/>
        <v>February</v>
      </c>
      <c r="C265" s="12">
        <v>45701</v>
      </c>
      <c r="D265" s="8">
        <v>2764</v>
      </c>
      <c r="E265" s="7" cm="1">
        <f t="array" ref="E265">_xlfn.XMATCH(F265&amp;G265&amp;H265, _xlfn.UNIQUE(F$2:F$369 &amp; G$2:G$369 &amp; H$2:H$369))</f>
        <v>162</v>
      </c>
      <c r="F265" s="8" t="s">
        <v>920</v>
      </c>
      <c r="G265" s="8" t="s">
        <v>921</v>
      </c>
      <c r="H265" s="8" t="s">
        <v>819</v>
      </c>
      <c r="I265" s="8" t="s">
        <v>922</v>
      </c>
      <c r="J265" s="7"/>
      <c r="K265" s="8" t="s">
        <v>22</v>
      </c>
      <c r="L265" s="8" t="s">
        <v>134</v>
      </c>
      <c r="M265" s="8" t="s">
        <v>660</v>
      </c>
      <c r="N265" s="8" t="s">
        <v>923</v>
      </c>
      <c r="O265" s="13">
        <v>400000</v>
      </c>
      <c r="P265" s="6">
        <v>50000</v>
      </c>
      <c r="Q265" s="7">
        <v>36</v>
      </c>
      <c r="R265" s="8" t="s">
        <v>897</v>
      </c>
      <c r="S265" s="15"/>
    </row>
    <row r="266" spans="1:19" x14ac:dyDescent="0.25">
      <c r="A266" s="10">
        <f t="shared" si="8"/>
        <v>2025</v>
      </c>
      <c r="B266" s="11" t="str">
        <f t="shared" si="9"/>
        <v>February</v>
      </c>
      <c r="C266" s="12">
        <v>45705</v>
      </c>
      <c r="D266" s="8">
        <v>2766</v>
      </c>
      <c r="E266" s="7" cm="1">
        <f t="array" ref="E266">_xlfn.XMATCH(F266&amp;G266&amp;H266, _xlfn.UNIQUE(F$2:F$369 &amp; G$2:G$369 &amp; H$2:H$369))</f>
        <v>163</v>
      </c>
      <c r="F266" s="8" t="s">
        <v>924</v>
      </c>
      <c r="G266" s="8" t="s">
        <v>925</v>
      </c>
      <c r="H266" s="8" t="s">
        <v>819</v>
      </c>
      <c r="I266" s="8" t="s">
        <v>926</v>
      </c>
      <c r="J266" s="7"/>
      <c r="K266" s="8" t="s">
        <v>22</v>
      </c>
      <c r="L266" s="8" t="s">
        <v>134</v>
      </c>
      <c r="M266" s="8" t="s">
        <v>660</v>
      </c>
      <c r="N266" s="8" t="s">
        <v>927</v>
      </c>
      <c r="O266" s="13">
        <v>400000</v>
      </c>
      <c r="P266" s="6">
        <v>50000</v>
      </c>
      <c r="Q266" s="7">
        <v>36</v>
      </c>
      <c r="R266" s="8" t="s">
        <v>897</v>
      </c>
      <c r="S266" s="15"/>
    </row>
    <row r="267" spans="1:19" x14ac:dyDescent="0.25">
      <c r="A267" s="10">
        <f t="shared" si="8"/>
        <v>2025</v>
      </c>
      <c r="B267" s="11" t="str">
        <f t="shared" si="9"/>
        <v>February</v>
      </c>
      <c r="C267" s="12">
        <v>45705</v>
      </c>
      <c r="D267" s="8">
        <v>2767</v>
      </c>
      <c r="E267" s="7" cm="1">
        <f t="array" ref="E267">_xlfn.XMATCH(F267&amp;G267&amp;H267, _xlfn.UNIQUE(F$2:F$369 &amp; G$2:G$369 &amp; H$2:H$369))</f>
        <v>163</v>
      </c>
      <c r="F267" s="8" t="s">
        <v>924</v>
      </c>
      <c r="G267" s="8" t="s">
        <v>925</v>
      </c>
      <c r="H267" s="8" t="s">
        <v>819</v>
      </c>
      <c r="I267" s="8" t="s">
        <v>926</v>
      </c>
      <c r="J267" s="7"/>
      <c r="K267" s="8" t="s">
        <v>78</v>
      </c>
      <c r="L267" s="8" t="s">
        <v>801</v>
      </c>
      <c r="M267" s="8" t="s">
        <v>660</v>
      </c>
      <c r="N267" s="41">
        <v>63110123200101</v>
      </c>
      <c r="O267" s="13">
        <v>400000</v>
      </c>
      <c r="P267" s="6">
        <v>50000</v>
      </c>
      <c r="Q267" s="7">
        <v>36</v>
      </c>
      <c r="R267" s="8" t="s">
        <v>890</v>
      </c>
      <c r="S267" s="15"/>
    </row>
    <row r="268" spans="1:19" x14ac:dyDescent="0.25">
      <c r="A268" s="10">
        <f t="shared" si="8"/>
        <v>2025</v>
      </c>
      <c r="B268" s="11" t="str">
        <f t="shared" si="9"/>
        <v>February</v>
      </c>
      <c r="C268" s="12">
        <v>45705</v>
      </c>
      <c r="D268" s="8">
        <v>2589</v>
      </c>
      <c r="E268" s="7" cm="1">
        <f t="array" ref="E268">_xlfn.XMATCH(F268&amp;G268&amp;H268, _xlfn.UNIQUE(F$2:F$369 &amp; G$2:G$369 &amp; H$2:H$369))</f>
        <v>164</v>
      </c>
      <c r="F268" s="8" t="s">
        <v>928</v>
      </c>
      <c r="G268" s="8" t="s">
        <v>356</v>
      </c>
      <c r="H268" s="8" t="s">
        <v>357</v>
      </c>
      <c r="I268" s="8" t="s">
        <v>929</v>
      </c>
      <c r="J268" s="7"/>
      <c r="K268" s="8" t="s">
        <v>78</v>
      </c>
      <c r="L268" s="8" t="s">
        <v>801</v>
      </c>
      <c r="M268" s="8" t="s">
        <v>660</v>
      </c>
      <c r="N268" s="25">
        <v>200051</v>
      </c>
      <c r="O268" s="13">
        <v>400000</v>
      </c>
      <c r="P268" s="6">
        <v>100000</v>
      </c>
      <c r="Q268" s="7">
        <v>24</v>
      </c>
      <c r="R268" s="8" t="s">
        <v>930</v>
      </c>
      <c r="S268" s="40"/>
    </row>
    <row r="269" spans="1:19" x14ac:dyDescent="0.25">
      <c r="A269" s="10">
        <f t="shared" si="8"/>
        <v>2025</v>
      </c>
      <c r="B269" s="11" t="str">
        <f t="shared" si="9"/>
        <v>February</v>
      </c>
      <c r="C269" s="12">
        <v>45706</v>
      </c>
      <c r="D269" s="8">
        <v>2642</v>
      </c>
      <c r="E269" s="7" cm="1">
        <f t="array" ref="E269">_xlfn.XMATCH(F269&amp;G269&amp;H269, _xlfn.UNIQUE(F$2:F$369 &amp; G$2:G$369 &amp; H$2:H$369))</f>
        <v>165</v>
      </c>
      <c r="F269" s="8" t="s">
        <v>931</v>
      </c>
      <c r="G269" s="8" t="s">
        <v>932</v>
      </c>
      <c r="H269" s="8" t="s">
        <v>481</v>
      </c>
      <c r="I269" s="8" t="s">
        <v>933</v>
      </c>
      <c r="J269" s="7"/>
      <c r="K269" s="8" t="s">
        <v>78</v>
      </c>
      <c r="L269" s="8" t="s">
        <v>801</v>
      </c>
      <c r="M269" s="8" t="s">
        <v>660</v>
      </c>
      <c r="N269" s="16" t="s">
        <v>934</v>
      </c>
      <c r="O269" s="13">
        <v>450000</v>
      </c>
      <c r="P269" s="6">
        <v>100000</v>
      </c>
      <c r="Q269" s="7">
        <v>24</v>
      </c>
      <c r="R269" s="8" t="s">
        <v>935</v>
      </c>
      <c r="S269" s="15"/>
    </row>
    <row r="270" spans="1:19" x14ac:dyDescent="0.25">
      <c r="A270" s="33">
        <f t="shared" si="8"/>
        <v>2025</v>
      </c>
      <c r="B270" s="34" t="str">
        <f t="shared" si="9"/>
        <v>February</v>
      </c>
      <c r="C270" s="35">
        <v>45706</v>
      </c>
      <c r="D270" s="36">
        <v>2640</v>
      </c>
      <c r="E270" s="7" cm="1">
        <f t="array" ref="E270">_xlfn.XMATCH(F270&amp;G270&amp;H270, _xlfn.UNIQUE(F$2:F$369 &amp; G$2:G$369 &amp; H$2:H$369))</f>
        <v>166</v>
      </c>
      <c r="F270" s="36" t="s">
        <v>936</v>
      </c>
      <c r="G270" s="36" t="s">
        <v>63</v>
      </c>
      <c r="H270" s="36" t="s">
        <v>196</v>
      </c>
      <c r="I270" s="36" t="s">
        <v>937</v>
      </c>
      <c r="J270" s="7"/>
      <c r="K270" s="36" t="s">
        <v>22</v>
      </c>
      <c r="L270" s="36" t="s">
        <v>134</v>
      </c>
      <c r="M270" s="36" t="s">
        <v>660</v>
      </c>
      <c r="N270" s="36" t="s">
        <v>938</v>
      </c>
      <c r="O270" s="37">
        <v>450000</v>
      </c>
      <c r="P270" s="38">
        <v>50000</v>
      </c>
      <c r="Q270" s="39">
        <v>36</v>
      </c>
      <c r="R270" s="36" t="s">
        <v>939</v>
      </c>
      <c r="S270" s="40" t="s">
        <v>940</v>
      </c>
    </row>
    <row r="271" spans="1:19" x14ac:dyDescent="0.25">
      <c r="A271" s="10">
        <f t="shared" si="8"/>
        <v>2025</v>
      </c>
      <c r="B271" s="11" t="str">
        <f t="shared" si="9"/>
        <v>February</v>
      </c>
      <c r="C271" s="12">
        <v>45709</v>
      </c>
      <c r="D271" s="8">
        <v>2770</v>
      </c>
      <c r="E271" s="7" cm="1">
        <f t="array" ref="E271">_xlfn.XMATCH(F271&amp;G271&amp;H271, _xlfn.UNIQUE(F$2:F$369 &amp; G$2:G$369 &amp; H$2:H$369))</f>
        <v>167</v>
      </c>
      <c r="F271" s="8" t="s">
        <v>941</v>
      </c>
      <c r="G271" s="8" t="s">
        <v>942</v>
      </c>
      <c r="H271" s="8" t="s">
        <v>52</v>
      </c>
      <c r="I271" s="8" t="s">
        <v>943</v>
      </c>
      <c r="J271" s="7"/>
      <c r="K271" s="8" t="s">
        <v>22</v>
      </c>
      <c r="L271" s="8" t="s">
        <v>134</v>
      </c>
      <c r="M271" s="8" t="s">
        <v>660</v>
      </c>
      <c r="N271" s="16" t="s">
        <v>944</v>
      </c>
      <c r="O271" s="13">
        <v>420000</v>
      </c>
      <c r="P271" s="6">
        <v>50000</v>
      </c>
      <c r="Q271" s="7">
        <v>36</v>
      </c>
      <c r="R271" s="8" t="s">
        <v>945</v>
      </c>
      <c r="S271" s="15"/>
    </row>
    <row r="272" spans="1:19" x14ac:dyDescent="0.25">
      <c r="A272" s="10">
        <f t="shared" si="8"/>
        <v>2025</v>
      </c>
      <c r="B272" s="11" t="str">
        <f t="shared" si="9"/>
        <v>March</v>
      </c>
      <c r="C272" s="12">
        <v>45722</v>
      </c>
      <c r="D272" s="8">
        <v>2813</v>
      </c>
      <c r="E272" s="7" cm="1">
        <f t="array" ref="E272">_xlfn.XMATCH(F272&amp;G272&amp;H272, _xlfn.UNIQUE(F$2:F$369 &amp; G$2:G$369 &amp; H$2:H$369))</f>
        <v>168</v>
      </c>
      <c r="F272" s="8" t="s">
        <v>946</v>
      </c>
      <c r="G272" s="8" t="s">
        <v>947</v>
      </c>
      <c r="H272" s="8" t="s">
        <v>52</v>
      </c>
      <c r="I272" s="8" t="s">
        <v>948</v>
      </c>
      <c r="J272" s="7"/>
      <c r="K272" s="8" t="s">
        <v>22</v>
      </c>
      <c r="L272" s="8" t="s">
        <v>134</v>
      </c>
      <c r="M272" s="8" t="s">
        <v>660</v>
      </c>
      <c r="N272" s="8" t="s">
        <v>949</v>
      </c>
      <c r="O272" s="13">
        <v>400000</v>
      </c>
      <c r="P272" s="6">
        <v>180000</v>
      </c>
      <c r="Q272" s="7">
        <v>12</v>
      </c>
      <c r="R272" s="8" t="s">
        <v>950</v>
      </c>
      <c r="S272" s="15"/>
    </row>
    <row r="273" spans="1:19" x14ac:dyDescent="0.25">
      <c r="A273" s="10">
        <f t="shared" si="8"/>
        <v>2025</v>
      </c>
      <c r="B273" s="11" t="str">
        <f t="shared" si="9"/>
        <v>March</v>
      </c>
      <c r="C273" s="12">
        <v>45722</v>
      </c>
      <c r="D273" s="8">
        <v>2813</v>
      </c>
      <c r="E273" s="7" cm="1">
        <f t="array" ref="E273">_xlfn.XMATCH(F273&amp;G273&amp;H273, _xlfn.UNIQUE(F$2:F$369 &amp; G$2:G$369 &amp; H$2:H$369))</f>
        <v>168</v>
      </c>
      <c r="F273" s="8" t="s">
        <v>946</v>
      </c>
      <c r="G273" s="8" t="s">
        <v>947</v>
      </c>
      <c r="H273" s="8" t="s">
        <v>52</v>
      </c>
      <c r="I273" s="8" t="s">
        <v>948</v>
      </c>
      <c r="J273" s="7"/>
      <c r="K273" s="8" t="s">
        <v>564</v>
      </c>
      <c r="L273" s="8" t="s">
        <v>565</v>
      </c>
      <c r="M273" s="8" t="s">
        <v>660</v>
      </c>
      <c r="N273" s="16" t="s">
        <v>951</v>
      </c>
      <c r="O273" s="13" t="s">
        <v>662</v>
      </c>
      <c r="P273" s="6"/>
      <c r="Q273" s="7"/>
      <c r="R273" s="8" t="s">
        <v>662</v>
      </c>
      <c r="S273" s="15"/>
    </row>
    <row r="274" spans="1:19" x14ac:dyDescent="0.25">
      <c r="A274" s="10">
        <f t="shared" si="8"/>
        <v>2025</v>
      </c>
      <c r="B274" s="11" t="str">
        <f t="shared" si="9"/>
        <v>March</v>
      </c>
      <c r="C274" s="12">
        <v>45727</v>
      </c>
      <c r="D274" s="8">
        <v>2772</v>
      </c>
      <c r="E274" s="7" cm="1">
        <f t="array" ref="E274">_xlfn.XMATCH(F274&amp;G274&amp;H274, _xlfn.UNIQUE(F$2:F$369 &amp; G$2:G$369 &amp; H$2:H$369))</f>
        <v>169</v>
      </c>
      <c r="F274" s="8" t="s">
        <v>952</v>
      </c>
      <c r="G274" s="8" t="s">
        <v>842</v>
      </c>
      <c r="H274" s="8" t="s">
        <v>819</v>
      </c>
      <c r="I274" s="8" t="s">
        <v>953</v>
      </c>
      <c r="J274" s="7"/>
      <c r="K274" s="8" t="s">
        <v>22</v>
      </c>
      <c r="L274" s="8" t="s">
        <v>134</v>
      </c>
      <c r="M274" s="8" t="s">
        <v>660</v>
      </c>
      <c r="N274" s="8" t="s">
        <v>954</v>
      </c>
      <c r="O274" s="13">
        <v>400000</v>
      </c>
      <c r="P274" s="6">
        <v>50000</v>
      </c>
      <c r="Q274" s="7">
        <v>36</v>
      </c>
      <c r="R274" s="8" t="s">
        <v>955</v>
      </c>
      <c r="S274" s="15"/>
    </row>
    <row r="275" spans="1:19" x14ac:dyDescent="0.25">
      <c r="A275" s="10">
        <f t="shared" si="8"/>
        <v>2025</v>
      </c>
      <c r="B275" s="11" t="str">
        <f t="shared" si="9"/>
        <v>March</v>
      </c>
      <c r="C275" s="12">
        <v>45727</v>
      </c>
      <c r="D275" s="8">
        <v>2773</v>
      </c>
      <c r="E275" s="7" cm="1">
        <f t="array" ref="E275">_xlfn.XMATCH(F275&amp;G275&amp;H275, _xlfn.UNIQUE(F$2:F$369 &amp; G$2:G$369 &amp; H$2:H$369))</f>
        <v>169</v>
      </c>
      <c r="F275" s="8" t="s">
        <v>952</v>
      </c>
      <c r="G275" s="8" t="s">
        <v>842</v>
      </c>
      <c r="H275" s="8" t="s">
        <v>819</v>
      </c>
      <c r="I275" s="8" t="s">
        <v>953</v>
      </c>
      <c r="J275" s="7"/>
      <c r="K275" s="8" t="s">
        <v>78</v>
      </c>
      <c r="L275" s="8" t="s">
        <v>801</v>
      </c>
      <c r="M275" s="8" t="s">
        <v>660</v>
      </c>
      <c r="N275" s="8">
        <v>200012</v>
      </c>
      <c r="O275" s="13">
        <v>400000</v>
      </c>
      <c r="P275" s="6"/>
      <c r="Q275" s="7">
        <v>36</v>
      </c>
      <c r="R275" s="8" t="s">
        <v>890</v>
      </c>
      <c r="S275" s="15"/>
    </row>
    <row r="276" spans="1:19" x14ac:dyDescent="0.25">
      <c r="A276" s="10">
        <f t="shared" si="8"/>
        <v>2025</v>
      </c>
      <c r="B276" s="11" t="str">
        <f t="shared" si="9"/>
        <v>March</v>
      </c>
      <c r="C276" s="12">
        <v>45729</v>
      </c>
      <c r="D276" s="8">
        <v>2906</v>
      </c>
      <c r="E276" s="7" cm="1">
        <f t="array" ref="E276">_xlfn.XMATCH(F276&amp;G276&amp;H276, _xlfn.UNIQUE(F$2:F$369 &amp; G$2:G$369 &amp; H$2:H$369))</f>
        <v>170</v>
      </c>
      <c r="F276" s="8" t="s">
        <v>956</v>
      </c>
      <c r="G276" s="8" t="s">
        <v>957</v>
      </c>
      <c r="H276" s="8" t="s">
        <v>659</v>
      </c>
      <c r="I276" s="8" t="s">
        <v>958</v>
      </c>
      <c r="J276" s="7"/>
      <c r="K276" s="8" t="s">
        <v>22</v>
      </c>
      <c r="L276" s="8" t="s">
        <v>134</v>
      </c>
      <c r="M276" s="8" t="s">
        <v>660</v>
      </c>
      <c r="N276" s="8" t="s">
        <v>959</v>
      </c>
      <c r="O276" s="13">
        <v>430000</v>
      </c>
      <c r="P276" s="6">
        <v>50000</v>
      </c>
      <c r="Q276" s="7">
        <v>36</v>
      </c>
      <c r="R276" s="8" t="s">
        <v>960</v>
      </c>
      <c r="S276" s="15"/>
    </row>
    <row r="277" spans="1:19" x14ac:dyDescent="0.25">
      <c r="A277" s="10">
        <f t="shared" si="8"/>
        <v>2025</v>
      </c>
      <c r="B277" s="11" t="str">
        <f t="shared" si="9"/>
        <v>March</v>
      </c>
      <c r="C277" s="12">
        <v>45734</v>
      </c>
      <c r="D277" s="8">
        <v>2907</v>
      </c>
      <c r="E277" s="7" cm="1">
        <f t="array" ref="E277">_xlfn.XMATCH(F277&amp;G277&amp;H277, _xlfn.UNIQUE(F$2:F$369 &amp; G$2:G$369 &amp; H$2:H$369))</f>
        <v>171</v>
      </c>
      <c r="F277" s="8" t="s">
        <v>961</v>
      </c>
      <c r="G277" s="8" t="s">
        <v>962</v>
      </c>
      <c r="H277" s="8" t="s">
        <v>963</v>
      </c>
      <c r="I277" s="8" t="s">
        <v>964</v>
      </c>
      <c r="J277" s="7"/>
      <c r="K277" s="8" t="s">
        <v>78</v>
      </c>
      <c r="L277" s="8" t="s">
        <v>801</v>
      </c>
      <c r="M277" s="8" t="s">
        <v>660</v>
      </c>
      <c r="N277" s="16" t="s">
        <v>965</v>
      </c>
      <c r="O277" s="13">
        <v>350000</v>
      </c>
      <c r="P277" s="6">
        <v>50000</v>
      </c>
      <c r="Q277" s="7">
        <v>36</v>
      </c>
      <c r="R277" s="8" t="s">
        <v>966</v>
      </c>
      <c r="S277" s="9" t="s">
        <v>967</v>
      </c>
    </row>
    <row r="278" spans="1:19" x14ac:dyDescent="0.25">
      <c r="A278" s="10">
        <f t="shared" si="8"/>
        <v>2025</v>
      </c>
      <c r="B278" s="11" t="str">
        <f t="shared" si="9"/>
        <v>March</v>
      </c>
      <c r="C278" s="12">
        <v>45734</v>
      </c>
      <c r="D278" s="8">
        <v>2908</v>
      </c>
      <c r="E278" s="7" cm="1">
        <f t="array" ref="E278">_xlfn.XMATCH(F278&amp;G278&amp;H278, _xlfn.UNIQUE(F$2:F$369 &amp; G$2:G$369 &amp; H$2:H$369))</f>
        <v>171</v>
      </c>
      <c r="F278" s="8" t="s">
        <v>961</v>
      </c>
      <c r="G278" s="8" t="s">
        <v>962</v>
      </c>
      <c r="H278" s="8" t="s">
        <v>963</v>
      </c>
      <c r="I278" s="8" t="s">
        <v>964</v>
      </c>
      <c r="J278" s="7"/>
      <c r="K278" s="8" t="s">
        <v>22</v>
      </c>
      <c r="L278" s="8" t="s">
        <v>134</v>
      </c>
      <c r="M278" s="8" t="s">
        <v>660</v>
      </c>
      <c r="N278" s="8" t="s">
        <v>968</v>
      </c>
      <c r="O278" s="13">
        <v>350000</v>
      </c>
      <c r="P278" s="6">
        <v>50000</v>
      </c>
      <c r="Q278" s="7">
        <v>36</v>
      </c>
      <c r="R278" s="8" t="s">
        <v>969</v>
      </c>
      <c r="S278" s="9" t="s">
        <v>967</v>
      </c>
    </row>
    <row r="279" spans="1:19" x14ac:dyDescent="0.25">
      <c r="A279" s="10">
        <f t="shared" si="8"/>
        <v>2025</v>
      </c>
      <c r="B279" s="11" t="str">
        <f t="shared" si="9"/>
        <v>March</v>
      </c>
      <c r="C279" s="12">
        <v>45736</v>
      </c>
      <c r="D279" s="8">
        <v>2777</v>
      </c>
      <c r="E279" s="7" cm="1">
        <f t="array" ref="E279">_xlfn.XMATCH(F279&amp;G279&amp;H279, _xlfn.UNIQUE(F$2:F$369 &amp; G$2:G$369 &amp; H$2:H$369))</f>
        <v>172</v>
      </c>
      <c r="F279" s="8" t="s">
        <v>970</v>
      </c>
      <c r="G279" s="8" t="s">
        <v>971</v>
      </c>
      <c r="H279" s="8" t="s">
        <v>619</v>
      </c>
      <c r="I279" s="8" t="s">
        <v>972</v>
      </c>
      <c r="J279" s="7"/>
      <c r="K279" s="8" t="s">
        <v>78</v>
      </c>
      <c r="L279" s="8" t="s">
        <v>801</v>
      </c>
      <c r="M279" s="8" t="s">
        <v>660</v>
      </c>
      <c r="N279" s="8">
        <v>200077</v>
      </c>
      <c r="O279" s="13">
        <v>400000</v>
      </c>
      <c r="P279" s="6">
        <v>50000</v>
      </c>
      <c r="Q279" s="7">
        <v>36</v>
      </c>
      <c r="R279" s="8" t="s">
        <v>890</v>
      </c>
      <c r="S279" s="15"/>
    </row>
    <row r="280" spans="1:19" x14ac:dyDescent="0.25">
      <c r="A280" s="10">
        <f t="shared" si="8"/>
        <v>2025</v>
      </c>
      <c r="B280" s="11" t="str">
        <f t="shared" si="9"/>
        <v>March</v>
      </c>
      <c r="C280" s="12">
        <v>45736</v>
      </c>
      <c r="D280" s="8">
        <v>2734</v>
      </c>
      <c r="E280" s="7" cm="1">
        <f t="array" ref="E280">_xlfn.XMATCH(F280&amp;G280&amp;H280, _xlfn.UNIQUE(F$2:F$369 &amp; G$2:G$369 &amp; H$2:H$369))</f>
        <v>173</v>
      </c>
      <c r="F280" s="45" t="s">
        <v>973</v>
      </c>
      <c r="G280" s="8" t="s">
        <v>605</v>
      </c>
      <c r="H280" s="8" t="s">
        <v>606</v>
      </c>
      <c r="I280" s="8" t="s">
        <v>974</v>
      </c>
      <c r="J280" s="7"/>
      <c r="K280" s="8" t="s">
        <v>22</v>
      </c>
      <c r="L280" s="8" t="s">
        <v>134</v>
      </c>
      <c r="M280" s="8" t="s">
        <v>660</v>
      </c>
      <c r="N280" s="8" t="s">
        <v>975</v>
      </c>
      <c r="O280" s="13">
        <v>400000</v>
      </c>
      <c r="P280" s="6"/>
      <c r="Q280" s="7">
        <v>18</v>
      </c>
      <c r="R280" s="8" t="s">
        <v>976</v>
      </c>
      <c r="S280" s="15"/>
    </row>
    <row r="281" spans="1:19" x14ac:dyDescent="0.25">
      <c r="A281" s="10">
        <f t="shared" si="8"/>
        <v>2025</v>
      </c>
      <c r="B281" s="11" t="str">
        <f t="shared" si="9"/>
        <v>March</v>
      </c>
      <c r="C281" s="12">
        <v>45741</v>
      </c>
      <c r="D281" s="8">
        <v>2964</v>
      </c>
      <c r="E281" s="7" cm="1">
        <f t="array" ref="E281">_xlfn.XMATCH(F281&amp;G281&amp;H281, _xlfn.UNIQUE(F$2:F$369 &amp; G$2:G$369 &amp; H$2:H$369))</f>
        <v>119</v>
      </c>
      <c r="F281" s="8" t="s">
        <v>657</v>
      </c>
      <c r="G281" s="8" t="s">
        <v>658</v>
      </c>
      <c r="H281" s="8" t="s">
        <v>659</v>
      </c>
      <c r="I281" s="8" t="s">
        <v>977</v>
      </c>
      <c r="J281" s="7"/>
      <c r="K281" s="8" t="s">
        <v>22</v>
      </c>
      <c r="L281" s="8" t="s">
        <v>134</v>
      </c>
      <c r="M281" s="8" t="s">
        <v>660</v>
      </c>
      <c r="N281" s="8" t="s">
        <v>978</v>
      </c>
      <c r="O281" s="13">
        <v>400000</v>
      </c>
      <c r="P281" s="6">
        <v>52000</v>
      </c>
      <c r="Q281" s="7">
        <v>24</v>
      </c>
      <c r="R281" s="8" t="s">
        <v>979</v>
      </c>
      <c r="S281" s="15"/>
    </row>
    <row r="282" spans="1:19" x14ac:dyDescent="0.25">
      <c r="A282" s="10">
        <f t="shared" si="8"/>
        <v>2025</v>
      </c>
      <c r="B282" s="11" t="str">
        <f t="shared" si="9"/>
        <v>April</v>
      </c>
      <c r="C282" s="12">
        <v>45749</v>
      </c>
      <c r="D282" s="8">
        <v>2780</v>
      </c>
      <c r="E282" s="7" cm="1">
        <f t="array" ref="E282">_xlfn.XMATCH(F282&amp;G282&amp;H282, _xlfn.UNIQUE(F$2:F$369 &amp; G$2:G$369 &amp; H$2:H$369))</f>
        <v>174</v>
      </c>
      <c r="F282" s="8" t="s">
        <v>980</v>
      </c>
      <c r="G282" s="8" t="s">
        <v>981</v>
      </c>
      <c r="H282" s="8" t="s">
        <v>619</v>
      </c>
      <c r="I282" s="8" t="s">
        <v>982</v>
      </c>
      <c r="J282" s="7"/>
      <c r="K282" s="8" t="s">
        <v>22</v>
      </c>
      <c r="L282" s="8" t="s">
        <v>134</v>
      </c>
      <c r="M282" s="8" t="s">
        <v>660</v>
      </c>
      <c r="N282" s="8" t="s">
        <v>983</v>
      </c>
      <c r="O282" s="13">
        <v>430000</v>
      </c>
      <c r="P282" s="6">
        <v>50000</v>
      </c>
      <c r="Q282" s="7">
        <v>36</v>
      </c>
      <c r="R282" s="8" t="s">
        <v>984</v>
      </c>
      <c r="S282" s="15"/>
    </row>
    <row r="283" spans="1:19" x14ac:dyDescent="0.25">
      <c r="A283" s="10">
        <f t="shared" si="8"/>
        <v>2025</v>
      </c>
      <c r="B283" s="11" t="str">
        <f t="shared" si="9"/>
        <v>April</v>
      </c>
      <c r="C283" s="12">
        <v>45749</v>
      </c>
      <c r="D283" s="8">
        <v>3008</v>
      </c>
      <c r="E283" s="7" cm="1">
        <f t="array" ref="E283">_xlfn.XMATCH(F283&amp;G283&amp;H283, _xlfn.UNIQUE(F$2:F$369 &amp; G$2:G$369 &amp; H$2:H$369))</f>
        <v>175</v>
      </c>
      <c r="F283" s="8" t="s">
        <v>985</v>
      </c>
      <c r="G283" s="8" t="s">
        <v>986</v>
      </c>
      <c r="H283" s="8" t="s">
        <v>481</v>
      </c>
      <c r="I283" s="8" t="s">
        <v>987</v>
      </c>
      <c r="J283" s="7"/>
      <c r="K283" s="8" t="s">
        <v>22</v>
      </c>
      <c r="L283" s="8" t="s">
        <v>134</v>
      </c>
      <c r="M283" s="8" t="s">
        <v>660</v>
      </c>
      <c r="N283" s="8" t="s">
        <v>988</v>
      </c>
      <c r="O283" s="13">
        <v>450000</v>
      </c>
      <c r="P283" s="6">
        <v>0</v>
      </c>
      <c r="Q283" s="7">
        <v>24</v>
      </c>
      <c r="R283" s="8" t="s">
        <v>989</v>
      </c>
      <c r="S283" s="15"/>
    </row>
    <row r="284" spans="1:19" x14ac:dyDescent="0.25">
      <c r="A284" s="10">
        <f t="shared" si="8"/>
        <v>2025</v>
      </c>
      <c r="B284" s="11" t="str">
        <f t="shared" si="9"/>
        <v>April</v>
      </c>
      <c r="C284" s="12">
        <v>45750</v>
      </c>
      <c r="D284" s="8">
        <v>2782</v>
      </c>
      <c r="E284" s="7" cm="1">
        <f t="array" ref="E284">_xlfn.XMATCH(F284&amp;G284&amp;H284, _xlfn.UNIQUE(F$2:F$369 &amp; G$2:G$369 &amp; H$2:H$369))</f>
        <v>172</v>
      </c>
      <c r="F284" s="8" t="s">
        <v>970</v>
      </c>
      <c r="G284" s="8" t="s">
        <v>971</v>
      </c>
      <c r="H284" s="8" t="s">
        <v>619</v>
      </c>
      <c r="I284" s="8" t="s">
        <v>972</v>
      </c>
      <c r="J284" s="7"/>
      <c r="K284" s="8" t="s">
        <v>22</v>
      </c>
      <c r="L284" s="8" t="s">
        <v>134</v>
      </c>
      <c r="M284" s="8" t="s">
        <v>660</v>
      </c>
      <c r="N284" s="8" t="s">
        <v>193</v>
      </c>
      <c r="O284" s="13">
        <v>400000</v>
      </c>
      <c r="P284" s="6">
        <v>50000</v>
      </c>
      <c r="Q284" s="7">
        <v>36</v>
      </c>
      <c r="R284" s="8" t="s">
        <v>984</v>
      </c>
      <c r="S284" s="15"/>
    </row>
    <row r="285" spans="1:19" x14ac:dyDescent="0.25">
      <c r="A285" s="10">
        <f t="shared" si="8"/>
        <v>2025</v>
      </c>
      <c r="B285" s="11" t="str">
        <f t="shared" si="9"/>
        <v>April</v>
      </c>
      <c r="C285" s="12">
        <v>45750</v>
      </c>
      <c r="D285" s="8">
        <v>2879</v>
      </c>
      <c r="E285" s="7" cm="1">
        <f t="array" ref="E285">_xlfn.XMATCH(F285&amp;G285&amp;H285, _xlfn.UNIQUE(F$2:F$369 &amp; G$2:G$369 &amp; H$2:H$369))</f>
        <v>176</v>
      </c>
      <c r="F285" s="8" t="s">
        <v>990</v>
      </c>
      <c r="G285" s="8" t="s">
        <v>991</v>
      </c>
      <c r="H285" s="8" t="s">
        <v>21</v>
      </c>
      <c r="I285" s="8" t="s">
        <v>992</v>
      </c>
      <c r="J285" s="7"/>
      <c r="K285" s="8" t="s">
        <v>22</v>
      </c>
      <c r="L285" s="8" t="s">
        <v>134</v>
      </c>
      <c r="M285" s="8" t="s">
        <v>660</v>
      </c>
      <c r="N285" s="8" t="s">
        <v>993</v>
      </c>
      <c r="O285" s="13">
        <v>450000</v>
      </c>
      <c r="P285" s="6">
        <v>0</v>
      </c>
      <c r="Q285" s="7">
        <v>30</v>
      </c>
      <c r="R285" s="8" t="s">
        <v>994</v>
      </c>
      <c r="S285" s="15"/>
    </row>
    <row r="286" spans="1:19" x14ac:dyDescent="0.25">
      <c r="A286" s="10">
        <f t="shared" si="8"/>
        <v>2025</v>
      </c>
      <c r="B286" s="11" t="str">
        <f t="shared" si="9"/>
        <v>April</v>
      </c>
      <c r="C286" s="12">
        <v>45752</v>
      </c>
      <c r="D286" s="8">
        <v>2884</v>
      </c>
      <c r="E286" s="7" cm="1">
        <f t="array" ref="E286">_xlfn.XMATCH(F286&amp;G286&amp;H286, _xlfn.UNIQUE(F$2:F$369 &amp; G$2:G$369 &amp; H$2:H$369))</f>
        <v>177</v>
      </c>
      <c r="F286" s="8" t="s">
        <v>995</v>
      </c>
      <c r="G286" s="8" t="s">
        <v>133</v>
      </c>
      <c r="H286" s="8" t="s">
        <v>64</v>
      </c>
      <c r="I286" s="8" t="s">
        <v>996</v>
      </c>
      <c r="J286" s="7"/>
      <c r="K286" s="8" t="s">
        <v>22</v>
      </c>
      <c r="L286" s="8" t="s">
        <v>134</v>
      </c>
      <c r="M286" s="8" t="s">
        <v>660</v>
      </c>
      <c r="N286" s="8" t="s">
        <v>997</v>
      </c>
      <c r="O286" s="13">
        <v>450000</v>
      </c>
      <c r="P286" s="6">
        <v>80000</v>
      </c>
      <c r="Q286" s="7">
        <v>24</v>
      </c>
      <c r="R286" s="8" t="s">
        <v>994</v>
      </c>
      <c r="S286" s="15"/>
    </row>
    <row r="287" spans="1:19" ht="63" x14ac:dyDescent="0.25">
      <c r="A287" s="33">
        <f t="shared" si="8"/>
        <v>2025</v>
      </c>
      <c r="B287" s="34" t="str">
        <f t="shared" si="9"/>
        <v>April</v>
      </c>
      <c r="C287" s="35">
        <v>45752</v>
      </c>
      <c r="D287" s="36">
        <v>2888</v>
      </c>
      <c r="E287" s="7" cm="1">
        <f t="array" ref="E287">_xlfn.XMATCH(F287&amp;G287&amp;H287, _xlfn.UNIQUE(F$2:F$369 &amp; G$2:G$369 &amp; H$2:H$369))</f>
        <v>178</v>
      </c>
      <c r="F287" s="36" t="s">
        <v>998</v>
      </c>
      <c r="G287" s="36" t="s">
        <v>999</v>
      </c>
      <c r="H287" s="36" t="s">
        <v>52</v>
      </c>
      <c r="I287" s="36" t="s">
        <v>1000</v>
      </c>
      <c r="J287" s="39"/>
      <c r="K287" s="36" t="s">
        <v>22</v>
      </c>
      <c r="L287" s="36" t="s">
        <v>134</v>
      </c>
      <c r="M287" s="36" t="s">
        <v>660</v>
      </c>
      <c r="N287" s="36" t="s">
        <v>1001</v>
      </c>
      <c r="O287" s="37">
        <v>400000</v>
      </c>
      <c r="P287" s="38">
        <v>0</v>
      </c>
      <c r="Q287" s="39">
        <v>24</v>
      </c>
      <c r="R287" s="36" t="s">
        <v>994</v>
      </c>
      <c r="S287" s="46" t="s">
        <v>1002</v>
      </c>
    </row>
    <row r="288" spans="1:19" x14ac:dyDescent="0.25">
      <c r="A288" s="10">
        <f t="shared" si="8"/>
        <v>2025</v>
      </c>
      <c r="B288" s="11" t="str">
        <f t="shared" si="9"/>
        <v>April</v>
      </c>
      <c r="C288" s="12">
        <v>45754</v>
      </c>
      <c r="D288" s="8">
        <v>2783</v>
      </c>
      <c r="E288" s="7" cm="1">
        <f t="array" ref="E288">_xlfn.XMATCH(F288&amp;G288&amp;H288, _xlfn.UNIQUE(F$2:F$369 &amp; G$2:G$369 &amp; H$2:H$369))</f>
        <v>179</v>
      </c>
      <c r="F288" s="25" t="s">
        <v>1003</v>
      </c>
      <c r="G288" s="8" t="s">
        <v>1004</v>
      </c>
      <c r="H288" s="8" t="s">
        <v>819</v>
      </c>
      <c r="I288" s="8" t="s">
        <v>1005</v>
      </c>
      <c r="J288" s="7"/>
      <c r="K288" s="8" t="s">
        <v>22</v>
      </c>
      <c r="L288" s="8" t="s">
        <v>134</v>
      </c>
      <c r="M288" s="8" t="s">
        <v>660</v>
      </c>
      <c r="N288" s="8" t="s">
        <v>1006</v>
      </c>
      <c r="O288" s="13">
        <v>450000</v>
      </c>
      <c r="P288" s="6">
        <v>20000</v>
      </c>
      <c r="Q288" s="7">
        <v>36</v>
      </c>
      <c r="R288" s="8" t="s">
        <v>984</v>
      </c>
      <c r="S288" s="15"/>
    </row>
    <row r="289" spans="1:19" x14ac:dyDescent="0.25">
      <c r="A289" s="10">
        <f t="shared" si="8"/>
        <v>2025</v>
      </c>
      <c r="B289" s="11" t="str">
        <f t="shared" si="9"/>
        <v>April</v>
      </c>
      <c r="C289" s="12">
        <v>45761</v>
      </c>
      <c r="D289" s="8">
        <v>2840</v>
      </c>
      <c r="E289" s="7" cm="1">
        <f t="array" ref="E289">_xlfn.XMATCH(F289&amp;G289&amp;H289, _xlfn.UNIQUE(F$2:F$369 &amp; G$2:G$369 &amp; H$2:H$369))</f>
        <v>180</v>
      </c>
      <c r="F289" s="8" t="s">
        <v>59</v>
      </c>
      <c r="G289" s="8" t="s">
        <v>480</v>
      </c>
      <c r="H289" s="8" t="s">
        <v>52</v>
      </c>
      <c r="I289" s="8" t="s">
        <v>1007</v>
      </c>
      <c r="J289" s="7"/>
      <c r="K289" s="8" t="s">
        <v>22</v>
      </c>
      <c r="L289" s="8" t="s">
        <v>134</v>
      </c>
      <c r="M289" s="8" t="s">
        <v>660</v>
      </c>
      <c r="N289" s="8" t="s">
        <v>1008</v>
      </c>
      <c r="O289" s="13">
        <v>400000</v>
      </c>
      <c r="P289" s="6">
        <v>0</v>
      </c>
      <c r="Q289" s="7">
        <v>24</v>
      </c>
      <c r="R289" s="8" t="s">
        <v>984</v>
      </c>
      <c r="S289" s="40"/>
    </row>
    <row r="290" spans="1:19" x14ac:dyDescent="0.25">
      <c r="A290" s="10">
        <f t="shared" si="8"/>
        <v>2025</v>
      </c>
      <c r="B290" s="11" t="str">
        <f t="shared" si="9"/>
        <v>April</v>
      </c>
      <c r="C290" s="12">
        <v>45770</v>
      </c>
      <c r="D290" s="8">
        <v>2917</v>
      </c>
      <c r="E290" s="7" cm="1">
        <f t="array" ref="E290">_xlfn.XMATCH(F290&amp;G290&amp;H290, _xlfn.UNIQUE(F$2:F$369 &amp; G$2:G$369 &amp; H$2:H$369))</f>
        <v>181</v>
      </c>
      <c r="F290" s="8" t="s">
        <v>1009</v>
      </c>
      <c r="G290" s="8" t="s">
        <v>1010</v>
      </c>
      <c r="H290" s="8" t="s">
        <v>600</v>
      </c>
      <c r="I290" s="8" t="s">
        <v>1011</v>
      </c>
      <c r="J290" s="7"/>
      <c r="K290" s="8" t="s">
        <v>22</v>
      </c>
      <c r="L290" s="8" t="s">
        <v>134</v>
      </c>
      <c r="M290" s="8" t="s">
        <v>660</v>
      </c>
      <c r="N290" s="8" t="s">
        <v>1012</v>
      </c>
      <c r="O290" s="13">
        <v>430000</v>
      </c>
      <c r="P290" s="6">
        <v>30000</v>
      </c>
      <c r="Q290" s="7">
        <v>36</v>
      </c>
      <c r="R290" s="8" t="s">
        <v>984</v>
      </c>
      <c r="S290" s="15"/>
    </row>
    <row r="291" spans="1:19" x14ac:dyDescent="0.25">
      <c r="A291" s="10">
        <f t="shared" si="8"/>
        <v>2025</v>
      </c>
      <c r="B291" s="11" t="str">
        <f t="shared" si="9"/>
        <v>April</v>
      </c>
      <c r="C291" s="12">
        <v>45770</v>
      </c>
      <c r="D291" s="8">
        <v>2918</v>
      </c>
      <c r="E291" s="7" cm="1">
        <f t="array" ref="E291">_xlfn.XMATCH(F291&amp;G291&amp;H291, _xlfn.UNIQUE(F$2:F$369 &amp; G$2:G$369 &amp; H$2:H$369))</f>
        <v>182</v>
      </c>
      <c r="F291" s="8" t="s">
        <v>1013</v>
      </c>
      <c r="G291" s="8" t="s">
        <v>1010</v>
      </c>
      <c r="H291" s="8" t="s">
        <v>600</v>
      </c>
      <c r="I291" s="8" t="s">
        <v>1014</v>
      </c>
      <c r="J291" s="7"/>
      <c r="K291" s="8" t="s">
        <v>22</v>
      </c>
      <c r="L291" s="8" t="s">
        <v>134</v>
      </c>
      <c r="M291" s="8" t="s">
        <v>660</v>
      </c>
      <c r="N291" s="8" t="s">
        <v>1015</v>
      </c>
      <c r="O291" s="13">
        <v>350000</v>
      </c>
      <c r="P291" s="6">
        <v>50000</v>
      </c>
      <c r="Q291" s="7">
        <v>36</v>
      </c>
      <c r="R291" s="8" t="s">
        <v>984</v>
      </c>
      <c r="S291" s="15"/>
    </row>
    <row r="292" spans="1:19" x14ac:dyDescent="0.25">
      <c r="A292" s="10">
        <f t="shared" si="8"/>
        <v>2025</v>
      </c>
      <c r="B292" s="11" t="str">
        <f t="shared" si="9"/>
        <v>April</v>
      </c>
      <c r="C292" s="12">
        <v>45770</v>
      </c>
      <c r="D292" s="8">
        <v>2919</v>
      </c>
      <c r="E292" s="7" cm="1">
        <f t="array" ref="E292">_xlfn.XMATCH(F292&amp;G292&amp;H292, _xlfn.UNIQUE(F$2:F$369 &amp; G$2:G$369 &amp; H$2:H$369))</f>
        <v>182</v>
      </c>
      <c r="F292" s="8" t="s">
        <v>1013</v>
      </c>
      <c r="G292" s="8" t="s">
        <v>1010</v>
      </c>
      <c r="H292" s="8" t="s">
        <v>600</v>
      </c>
      <c r="I292" s="8" t="s">
        <v>1014</v>
      </c>
      <c r="J292" s="7"/>
      <c r="K292" s="8" t="s">
        <v>78</v>
      </c>
      <c r="L292" s="8" t="s">
        <v>801</v>
      </c>
      <c r="M292" s="8" t="s">
        <v>660</v>
      </c>
      <c r="N292" s="16" t="s">
        <v>1016</v>
      </c>
      <c r="O292" s="13">
        <v>400000</v>
      </c>
      <c r="P292" s="6">
        <v>50000</v>
      </c>
      <c r="Q292" s="7">
        <v>36</v>
      </c>
      <c r="R292" s="8" t="s">
        <v>1017</v>
      </c>
      <c r="S292" s="15"/>
    </row>
    <row r="293" spans="1:19" x14ac:dyDescent="0.25">
      <c r="A293" s="10">
        <f t="shared" si="8"/>
        <v>2025</v>
      </c>
      <c r="B293" s="11" t="str">
        <f t="shared" si="9"/>
        <v>May</v>
      </c>
      <c r="C293" s="12">
        <v>45783</v>
      </c>
      <c r="D293" s="8">
        <v>3056</v>
      </c>
      <c r="E293" s="7" cm="1">
        <f t="array" ref="E293">_xlfn.XMATCH(F293&amp;G293&amp;H293, _xlfn.UNIQUE(F$2:F$369 &amp; G$2:G$369 &amp; H$2:H$369))</f>
        <v>5</v>
      </c>
      <c r="F293" s="8" t="s">
        <v>33</v>
      </c>
      <c r="G293" s="8" t="s">
        <v>30</v>
      </c>
      <c r="H293" s="8" t="s">
        <v>21</v>
      </c>
      <c r="I293" s="8" t="s">
        <v>1018</v>
      </c>
      <c r="J293" s="7"/>
      <c r="K293" s="8" t="s">
        <v>22</v>
      </c>
      <c r="L293" s="8" t="s">
        <v>134</v>
      </c>
      <c r="M293" s="8" t="s">
        <v>660</v>
      </c>
      <c r="N293" s="8" t="s">
        <v>1019</v>
      </c>
      <c r="O293" s="13">
        <v>400000</v>
      </c>
      <c r="P293" s="6">
        <v>0</v>
      </c>
      <c r="Q293" s="7">
        <v>20</v>
      </c>
      <c r="R293" s="8" t="s">
        <v>1020</v>
      </c>
      <c r="S293" s="15"/>
    </row>
    <row r="294" spans="1:19" x14ac:dyDescent="0.25">
      <c r="A294" s="10">
        <f t="shared" si="8"/>
        <v>2025</v>
      </c>
      <c r="B294" s="11" t="str">
        <f t="shared" si="9"/>
        <v>May</v>
      </c>
      <c r="C294" s="12">
        <v>45784</v>
      </c>
      <c r="D294" s="8">
        <v>2922</v>
      </c>
      <c r="E294" s="7" cm="1">
        <f t="array" ref="E294">_xlfn.XMATCH(F294&amp;G294&amp;H294, _xlfn.UNIQUE(F$2:F$369 &amp; G$2:G$369 &amp; H$2:H$369))</f>
        <v>183</v>
      </c>
      <c r="F294" s="8" t="s">
        <v>1021</v>
      </c>
      <c r="G294" s="8" t="s">
        <v>1022</v>
      </c>
      <c r="H294" s="8" t="s">
        <v>461</v>
      </c>
      <c r="I294" s="8" t="s">
        <v>1023</v>
      </c>
      <c r="J294" s="7"/>
      <c r="K294" s="8" t="s">
        <v>22</v>
      </c>
      <c r="L294" s="8" t="s">
        <v>134</v>
      </c>
      <c r="M294" s="8" t="s">
        <v>660</v>
      </c>
      <c r="N294" s="8" t="s">
        <v>1024</v>
      </c>
      <c r="O294" s="13">
        <v>400000</v>
      </c>
      <c r="P294" s="6">
        <v>50000</v>
      </c>
      <c r="Q294" s="7">
        <v>36</v>
      </c>
      <c r="R294" s="8" t="s">
        <v>984</v>
      </c>
      <c r="S294" s="15"/>
    </row>
    <row r="295" spans="1:19" x14ac:dyDescent="0.25">
      <c r="A295" s="10">
        <f t="shared" si="8"/>
        <v>2025</v>
      </c>
      <c r="B295" s="11" t="str">
        <f t="shared" si="9"/>
        <v>May</v>
      </c>
      <c r="C295" s="12">
        <v>45787</v>
      </c>
      <c r="D295" s="8">
        <v>3115</v>
      </c>
      <c r="E295" s="7" cm="1">
        <f t="array" ref="E295">_xlfn.XMATCH(F295&amp;G295&amp;H295, _xlfn.UNIQUE(F$2:F$369 &amp; G$2:G$369 &amp; H$2:H$369))</f>
        <v>184</v>
      </c>
      <c r="F295" s="8" t="s">
        <v>1025</v>
      </c>
      <c r="G295" s="8" t="s">
        <v>505</v>
      </c>
      <c r="H295" s="8" t="s">
        <v>196</v>
      </c>
      <c r="I295" s="8"/>
      <c r="J295" s="7"/>
      <c r="K295" s="8" t="s">
        <v>22</v>
      </c>
      <c r="L295" s="8" t="s">
        <v>134</v>
      </c>
      <c r="M295" s="8" t="s">
        <v>660</v>
      </c>
      <c r="N295" s="8" t="s">
        <v>1026</v>
      </c>
      <c r="O295" s="13">
        <v>390000</v>
      </c>
      <c r="P295" s="6">
        <v>100000</v>
      </c>
      <c r="Q295" s="7">
        <v>36</v>
      </c>
      <c r="R295" s="8" t="s">
        <v>984</v>
      </c>
      <c r="S295" s="15"/>
    </row>
    <row r="296" spans="1:19" x14ac:dyDescent="0.25">
      <c r="A296" s="10">
        <f t="shared" si="8"/>
        <v>2025</v>
      </c>
      <c r="B296" s="11" t="str">
        <f t="shared" si="9"/>
        <v>May</v>
      </c>
      <c r="C296" s="12">
        <v>45787</v>
      </c>
      <c r="D296" s="8">
        <v>3116</v>
      </c>
      <c r="E296" s="7" cm="1">
        <f t="array" ref="E296">_xlfn.XMATCH(F296&amp;G296&amp;H296, _xlfn.UNIQUE(F$2:F$369 &amp; G$2:G$369 &amp; H$2:H$369))</f>
        <v>184</v>
      </c>
      <c r="F296" s="8" t="s">
        <v>1025</v>
      </c>
      <c r="G296" s="8" t="s">
        <v>505</v>
      </c>
      <c r="H296" s="8" t="s">
        <v>196</v>
      </c>
      <c r="I296" s="8"/>
      <c r="J296" s="7"/>
      <c r="K296" s="8" t="s">
        <v>78</v>
      </c>
      <c r="L296" s="8" t="s">
        <v>801</v>
      </c>
      <c r="M296" s="8" t="s">
        <v>660</v>
      </c>
      <c r="N296" s="16" t="s">
        <v>1027</v>
      </c>
      <c r="O296" s="13">
        <v>390000</v>
      </c>
      <c r="P296" s="6">
        <v>100000</v>
      </c>
      <c r="Q296" s="7">
        <v>36</v>
      </c>
      <c r="R296" s="8" t="s">
        <v>1017</v>
      </c>
      <c r="S296" s="15"/>
    </row>
    <row r="297" spans="1:19" x14ac:dyDescent="0.25">
      <c r="A297" s="10">
        <f t="shared" si="8"/>
        <v>2025</v>
      </c>
      <c r="B297" s="11" t="str">
        <f t="shared" si="9"/>
        <v>May</v>
      </c>
      <c r="C297" s="12">
        <v>45793</v>
      </c>
      <c r="D297" s="8">
        <v>2925</v>
      </c>
      <c r="E297" s="7" cm="1">
        <f t="array" ref="E297">_xlfn.XMATCH(F297&amp;G297&amp;H297, _xlfn.UNIQUE(F$2:F$369 &amp; G$2:G$369 &amp; H$2:H$369))</f>
        <v>185</v>
      </c>
      <c r="F297" s="8" t="s">
        <v>1028</v>
      </c>
      <c r="G297" s="8" t="s">
        <v>605</v>
      </c>
      <c r="H297" s="8" t="s">
        <v>606</v>
      </c>
      <c r="I297" s="8" t="s">
        <v>1029</v>
      </c>
      <c r="J297" s="7"/>
      <c r="K297" s="9" t="s">
        <v>22</v>
      </c>
      <c r="L297" s="8" t="s">
        <v>134</v>
      </c>
      <c r="M297" s="8" t="s">
        <v>660</v>
      </c>
      <c r="N297" s="8" t="s">
        <v>1030</v>
      </c>
      <c r="O297" s="13">
        <v>400000</v>
      </c>
      <c r="P297" s="6">
        <v>50000</v>
      </c>
      <c r="Q297" s="7">
        <v>36</v>
      </c>
      <c r="R297" s="8" t="s">
        <v>1020</v>
      </c>
      <c r="S297" s="15"/>
    </row>
    <row r="298" spans="1:19" x14ac:dyDescent="0.25">
      <c r="A298" s="10">
        <f t="shared" si="8"/>
        <v>2025</v>
      </c>
      <c r="B298" s="11" t="str">
        <f t="shared" si="9"/>
        <v>May</v>
      </c>
      <c r="C298" s="12">
        <v>45794</v>
      </c>
      <c r="D298" s="8">
        <v>3025</v>
      </c>
      <c r="E298" s="7" cm="1">
        <f t="array" ref="E298">_xlfn.XMATCH(F298&amp;G298&amp;H298, _xlfn.UNIQUE(F$2:F$369 &amp; G$2:G$369 &amp; H$2:H$369))</f>
        <v>186</v>
      </c>
      <c r="F298" s="8" t="s">
        <v>1031</v>
      </c>
      <c r="G298" s="8" t="s">
        <v>962</v>
      </c>
      <c r="H298" s="8" t="s">
        <v>963</v>
      </c>
      <c r="I298" s="8" t="s">
        <v>1032</v>
      </c>
      <c r="J298" s="7"/>
      <c r="K298" s="8" t="s">
        <v>22</v>
      </c>
      <c r="L298" s="8" t="s">
        <v>134</v>
      </c>
      <c r="M298" s="8" t="s">
        <v>660</v>
      </c>
      <c r="N298" s="8" t="s">
        <v>1033</v>
      </c>
      <c r="O298" s="13">
        <v>400000</v>
      </c>
      <c r="P298" s="6">
        <v>50000</v>
      </c>
      <c r="Q298" s="7">
        <v>36</v>
      </c>
      <c r="R298" s="8" t="s">
        <v>1034</v>
      </c>
      <c r="S298" s="15"/>
    </row>
    <row r="299" spans="1:19" x14ac:dyDescent="0.25">
      <c r="A299" s="10">
        <f t="shared" si="8"/>
        <v>2025</v>
      </c>
      <c r="B299" s="11" t="str">
        <f t="shared" si="9"/>
        <v>May</v>
      </c>
      <c r="C299" s="12">
        <v>45804</v>
      </c>
      <c r="D299" s="8">
        <v>3130</v>
      </c>
      <c r="E299" s="7" cm="1">
        <f t="array" ref="E299">_xlfn.XMATCH(F299&amp;G299&amp;H299, _xlfn.UNIQUE(F$2:F$369 &amp; G$2:G$369 &amp; H$2:H$369))</f>
        <v>187</v>
      </c>
      <c r="F299" s="8" t="s">
        <v>1035</v>
      </c>
      <c r="G299" s="8" t="s">
        <v>1036</v>
      </c>
      <c r="H299" s="8" t="s">
        <v>227</v>
      </c>
      <c r="I299" s="8" t="s">
        <v>1037</v>
      </c>
      <c r="J299" s="7"/>
      <c r="K299" s="8" t="s">
        <v>22</v>
      </c>
      <c r="L299" s="8" t="s">
        <v>134</v>
      </c>
      <c r="M299" s="8" t="s">
        <v>660</v>
      </c>
      <c r="N299" s="8" t="s">
        <v>1038</v>
      </c>
      <c r="O299" s="13">
        <v>450000</v>
      </c>
      <c r="P299" s="6">
        <v>0</v>
      </c>
      <c r="Q299" s="7">
        <v>24</v>
      </c>
      <c r="R299" s="8" t="s">
        <v>1034</v>
      </c>
      <c r="S299" s="15"/>
    </row>
    <row r="300" spans="1:19" x14ac:dyDescent="0.25">
      <c r="A300" s="10">
        <f t="shared" si="8"/>
        <v>2025</v>
      </c>
      <c r="B300" s="11" t="str">
        <f t="shared" si="9"/>
        <v>June</v>
      </c>
      <c r="C300" s="12">
        <v>45827</v>
      </c>
      <c r="D300" s="8">
        <v>2930</v>
      </c>
      <c r="E300" s="7" cm="1">
        <f t="array" ref="E300">_xlfn.XMATCH(F300&amp;G300&amp;H300, _xlfn.UNIQUE(F$2:F$369 &amp; G$2:G$369 &amp; H$2:H$369))</f>
        <v>12</v>
      </c>
      <c r="F300" s="8" t="s">
        <v>59</v>
      </c>
      <c r="G300" s="8" t="s">
        <v>60</v>
      </c>
      <c r="H300" s="8" t="s">
        <v>52</v>
      </c>
      <c r="I300" s="8"/>
      <c r="J300" s="7"/>
      <c r="K300" s="8" t="s">
        <v>78</v>
      </c>
      <c r="L300" s="8" t="s">
        <v>801</v>
      </c>
      <c r="M300" s="8" t="s">
        <v>660</v>
      </c>
      <c r="N300" s="16" t="s">
        <v>1039</v>
      </c>
      <c r="O300" s="13">
        <v>450000</v>
      </c>
      <c r="P300" s="6">
        <v>0</v>
      </c>
      <c r="Q300" s="7">
        <v>18</v>
      </c>
      <c r="R300" s="8" t="s">
        <v>1040</v>
      </c>
      <c r="S300" s="15"/>
    </row>
    <row r="301" spans="1:19" x14ac:dyDescent="0.25">
      <c r="A301" s="10">
        <f t="shared" si="8"/>
        <v>2025</v>
      </c>
      <c r="B301" s="11" t="str">
        <f t="shared" si="9"/>
        <v>June</v>
      </c>
      <c r="C301" s="12">
        <v>45828</v>
      </c>
      <c r="D301" s="8">
        <v>2978</v>
      </c>
      <c r="E301" s="7" cm="1">
        <f t="array" ref="E301">_xlfn.XMATCH(F301&amp;G301&amp;H301, _xlfn.UNIQUE(F$2:F$369 &amp; G$2:G$369 &amp; H$2:H$369))</f>
        <v>188</v>
      </c>
      <c r="F301" s="8" t="s">
        <v>1041</v>
      </c>
      <c r="G301" s="8" t="s">
        <v>1042</v>
      </c>
      <c r="H301" s="8" t="s">
        <v>819</v>
      </c>
      <c r="I301" s="8" t="s">
        <v>1043</v>
      </c>
      <c r="J301" s="7"/>
      <c r="K301" s="8" t="s">
        <v>22</v>
      </c>
      <c r="L301" s="8" t="s">
        <v>134</v>
      </c>
      <c r="M301" s="8" t="s">
        <v>660</v>
      </c>
      <c r="N301" s="8" t="s">
        <v>1044</v>
      </c>
      <c r="O301" s="13">
        <v>430000</v>
      </c>
      <c r="P301" s="6">
        <v>50000</v>
      </c>
      <c r="Q301" s="7">
        <v>36</v>
      </c>
      <c r="R301" s="8" t="s">
        <v>1034</v>
      </c>
      <c r="S301" s="15"/>
    </row>
    <row r="302" spans="1:19" x14ac:dyDescent="0.25">
      <c r="A302" s="10">
        <f t="shared" si="8"/>
        <v>2025</v>
      </c>
      <c r="B302" s="11" t="str">
        <f t="shared" si="9"/>
        <v>June</v>
      </c>
      <c r="C302" s="12">
        <v>45828</v>
      </c>
      <c r="D302" s="8">
        <v>2979</v>
      </c>
      <c r="E302" s="7" cm="1">
        <f t="array" ref="E302">_xlfn.XMATCH(F302&amp;G302&amp;H302, _xlfn.UNIQUE(F$2:F$369 &amp; G$2:G$369 &amp; H$2:H$369))</f>
        <v>188</v>
      </c>
      <c r="F302" s="8" t="s">
        <v>1041</v>
      </c>
      <c r="G302" s="8" t="s">
        <v>1042</v>
      </c>
      <c r="H302" s="8" t="s">
        <v>819</v>
      </c>
      <c r="I302" s="8" t="s">
        <v>1043</v>
      </c>
      <c r="J302" s="7"/>
      <c r="K302" s="8" t="s">
        <v>78</v>
      </c>
      <c r="L302" s="8" t="s">
        <v>801</v>
      </c>
      <c r="M302" s="8" t="s">
        <v>660</v>
      </c>
      <c r="N302" s="16" t="s">
        <v>1045</v>
      </c>
      <c r="O302" s="13">
        <v>430000</v>
      </c>
      <c r="P302" s="6">
        <v>50000</v>
      </c>
      <c r="Q302" s="7">
        <v>36</v>
      </c>
      <c r="R302" s="8" t="s">
        <v>1046</v>
      </c>
      <c r="S302" s="15"/>
    </row>
    <row r="303" spans="1:19" x14ac:dyDescent="0.25">
      <c r="A303" s="10">
        <f t="shared" si="8"/>
        <v>2025</v>
      </c>
      <c r="B303" s="11" t="str">
        <f t="shared" si="9"/>
        <v>June</v>
      </c>
      <c r="C303" s="12">
        <v>45829</v>
      </c>
      <c r="D303" s="8">
        <v>3035</v>
      </c>
      <c r="E303" s="7" cm="1">
        <f t="array" ref="E303">_xlfn.XMATCH(F303&amp;G303&amp;H303, _xlfn.UNIQUE(F$2:F$369 &amp; G$2:G$369 &amp; H$2:H$369))</f>
        <v>172</v>
      </c>
      <c r="F303" s="8" t="s">
        <v>970</v>
      </c>
      <c r="G303" s="8" t="s">
        <v>971</v>
      </c>
      <c r="H303" s="8" t="s">
        <v>619</v>
      </c>
      <c r="I303" s="8" t="s">
        <v>972</v>
      </c>
      <c r="J303" s="7"/>
      <c r="K303" s="8" t="s">
        <v>809</v>
      </c>
      <c r="L303" s="8" t="s">
        <v>343</v>
      </c>
      <c r="M303" s="8" t="s">
        <v>660</v>
      </c>
      <c r="N303" s="8" t="s">
        <v>1047</v>
      </c>
      <c r="O303" s="13">
        <v>400000</v>
      </c>
      <c r="P303" s="6">
        <v>50000</v>
      </c>
      <c r="Q303" s="7">
        <v>36</v>
      </c>
      <c r="R303" s="8" t="s">
        <v>1048</v>
      </c>
      <c r="S303" s="15"/>
    </row>
    <row r="304" spans="1:19" x14ac:dyDescent="0.25">
      <c r="A304" s="10">
        <f t="shared" ref="A304:A367" si="10">YEAR($C304)</f>
        <v>2025</v>
      </c>
      <c r="B304" s="11" t="str">
        <f t="shared" ref="B304:B367" si="11">TEXT(C304,"mmmm")</f>
        <v>June</v>
      </c>
      <c r="C304" s="12">
        <v>45831</v>
      </c>
      <c r="D304" s="8">
        <v>2933</v>
      </c>
      <c r="E304" s="7" cm="1">
        <f t="array" ref="E304">_xlfn.XMATCH(F304&amp;G304&amp;H304, _xlfn.UNIQUE(F$2:F$369 &amp; G$2:G$369 &amp; H$2:H$369))</f>
        <v>186</v>
      </c>
      <c r="F304" s="8" t="s">
        <v>1031</v>
      </c>
      <c r="G304" s="8" t="s">
        <v>962</v>
      </c>
      <c r="H304" s="8" t="s">
        <v>963</v>
      </c>
      <c r="I304" s="8" t="s">
        <v>1032</v>
      </c>
      <c r="J304" s="7"/>
      <c r="K304" s="8" t="s">
        <v>78</v>
      </c>
      <c r="L304" s="8" t="s">
        <v>801</v>
      </c>
      <c r="M304" s="8" t="s">
        <v>660</v>
      </c>
      <c r="N304" s="16" t="s">
        <v>1049</v>
      </c>
      <c r="O304" s="13">
        <v>400000</v>
      </c>
      <c r="P304" s="6">
        <v>25000</v>
      </c>
      <c r="Q304" s="7">
        <v>36</v>
      </c>
      <c r="R304" s="8" t="s">
        <v>1050</v>
      </c>
      <c r="S304" s="9"/>
    </row>
    <row r="305" spans="1:19" x14ac:dyDescent="0.25">
      <c r="A305" s="10">
        <f t="shared" si="10"/>
        <v>2025</v>
      </c>
      <c r="B305" s="11" t="str">
        <f t="shared" si="11"/>
        <v>June</v>
      </c>
      <c r="C305" s="12">
        <v>45831</v>
      </c>
      <c r="D305" s="8">
        <v>2934</v>
      </c>
      <c r="E305" s="7" cm="1">
        <f t="array" ref="E305">_xlfn.XMATCH(F305&amp;G305&amp;H305, _xlfn.UNIQUE(F$2:F$369 &amp; G$2:G$369 &amp; H$2:H$369))</f>
        <v>186</v>
      </c>
      <c r="F305" s="8" t="s">
        <v>1031</v>
      </c>
      <c r="G305" s="8" t="s">
        <v>962</v>
      </c>
      <c r="H305" s="8" t="s">
        <v>963</v>
      </c>
      <c r="I305" s="8" t="s">
        <v>1032</v>
      </c>
      <c r="J305" s="7"/>
      <c r="K305" s="8" t="s">
        <v>809</v>
      </c>
      <c r="L305" s="8" t="s">
        <v>343</v>
      </c>
      <c r="M305" s="8" t="s">
        <v>660</v>
      </c>
      <c r="N305" s="16" t="s">
        <v>1051</v>
      </c>
      <c r="O305" s="13">
        <v>400000</v>
      </c>
      <c r="P305" s="6">
        <v>25000</v>
      </c>
      <c r="Q305" s="7">
        <v>36</v>
      </c>
      <c r="R305" s="8" t="s">
        <v>1052</v>
      </c>
      <c r="S305" s="15"/>
    </row>
    <row r="306" spans="1:19" x14ac:dyDescent="0.25">
      <c r="A306" s="10">
        <f t="shared" si="10"/>
        <v>2025</v>
      </c>
      <c r="B306" s="11" t="str">
        <f t="shared" si="11"/>
        <v>June</v>
      </c>
      <c r="C306" s="12">
        <v>45832</v>
      </c>
      <c r="D306" s="8">
        <v>2937</v>
      </c>
      <c r="E306" s="7" cm="1">
        <f t="array" ref="E306">_xlfn.XMATCH(F306&amp;G306&amp;H306, _xlfn.UNIQUE(F$2:F$369 &amp; G$2:G$369 &amp; H$2:H$369))</f>
        <v>189</v>
      </c>
      <c r="F306" s="8" t="s">
        <v>1053</v>
      </c>
      <c r="G306" s="8" t="s">
        <v>1054</v>
      </c>
      <c r="H306" s="8" t="s">
        <v>1055</v>
      </c>
      <c r="I306" s="8"/>
      <c r="J306" s="7"/>
      <c r="K306" s="8" t="s">
        <v>22</v>
      </c>
      <c r="L306" s="8" t="s">
        <v>134</v>
      </c>
      <c r="M306" s="8" t="s">
        <v>660</v>
      </c>
      <c r="N306" s="16" t="s">
        <v>1056</v>
      </c>
      <c r="O306" s="13">
        <v>400000</v>
      </c>
      <c r="P306" s="6">
        <v>50000</v>
      </c>
      <c r="Q306" s="7">
        <v>36</v>
      </c>
      <c r="R306" s="8" t="s">
        <v>1034</v>
      </c>
      <c r="S306" s="9" t="s">
        <v>967</v>
      </c>
    </row>
    <row r="307" spans="1:19" x14ac:dyDescent="0.25">
      <c r="A307" s="10">
        <f t="shared" si="10"/>
        <v>2025</v>
      </c>
      <c r="B307" s="11" t="str">
        <f t="shared" si="11"/>
        <v>June</v>
      </c>
      <c r="C307" s="12">
        <v>45833</v>
      </c>
      <c r="D307" s="8">
        <v>2982</v>
      </c>
      <c r="E307" s="7" cm="1">
        <f t="array" ref="E307">_xlfn.XMATCH(F307&amp;G307&amp;H307, _xlfn.UNIQUE(F$2:F$369 &amp; G$2:G$369 &amp; H$2:H$369))</f>
        <v>183</v>
      </c>
      <c r="F307" s="8" t="s">
        <v>1021</v>
      </c>
      <c r="G307" s="8" t="s">
        <v>1022</v>
      </c>
      <c r="H307" s="8" t="s">
        <v>461</v>
      </c>
      <c r="I307" s="8" t="s">
        <v>1023</v>
      </c>
      <c r="J307" s="7"/>
      <c r="K307" s="8" t="s">
        <v>78</v>
      </c>
      <c r="L307" s="8" t="s">
        <v>801</v>
      </c>
      <c r="M307" s="8" t="s">
        <v>660</v>
      </c>
      <c r="N307" s="16" t="s">
        <v>1057</v>
      </c>
      <c r="O307" s="13">
        <v>400000</v>
      </c>
      <c r="P307" s="6">
        <v>50000</v>
      </c>
      <c r="Q307" s="7">
        <v>36</v>
      </c>
      <c r="R307" s="8" t="s">
        <v>1058</v>
      </c>
      <c r="S307" s="15"/>
    </row>
    <row r="308" spans="1:19" x14ac:dyDescent="0.25">
      <c r="A308" s="10">
        <f t="shared" si="10"/>
        <v>2025</v>
      </c>
      <c r="B308" s="11" t="str">
        <f t="shared" si="11"/>
        <v>June</v>
      </c>
      <c r="C308" s="12">
        <v>45833</v>
      </c>
      <c r="D308" s="8">
        <v>3210</v>
      </c>
      <c r="E308" s="7" cm="1">
        <f t="array" ref="E308">_xlfn.XMATCH(F308&amp;G308&amp;H308, _xlfn.UNIQUE(F$2:F$369 &amp; G$2:G$369 &amp; H$2:H$369))</f>
        <v>190</v>
      </c>
      <c r="F308" s="8" t="s">
        <v>1059</v>
      </c>
      <c r="G308" s="8" t="s">
        <v>505</v>
      </c>
      <c r="H308" s="8" t="s">
        <v>196</v>
      </c>
      <c r="I308" s="8" t="s">
        <v>1060</v>
      </c>
      <c r="J308" s="7"/>
      <c r="K308" s="8" t="s">
        <v>22</v>
      </c>
      <c r="L308" s="8" t="s">
        <v>134</v>
      </c>
      <c r="M308" s="8" t="s">
        <v>660</v>
      </c>
      <c r="N308" s="16" t="s">
        <v>1061</v>
      </c>
      <c r="O308" s="13">
        <v>450000</v>
      </c>
      <c r="P308" s="6">
        <v>0</v>
      </c>
      <c r="Q308" s="7">
        <v>24</v>
      </c>
      <c r="R308" s="8" t="s">
        <v>1034</v>
      </c>
      <c r="S308" s="15"/>
    </row>
    <row r="309" spans="1:19" x14ac:dyDescent="0.25">
      <c r="A309" s="10">
        <f t="shared" si="10"/>
        <v>2025</v>
      </c>
      <c r="B309" s="11" t="str">
        <f t="shared" si="11"/>
        <v>July</v>
      </c>
      <c r="C309" s="12">
        <v>45852</v>
      </c>
      <c r="D309" s="8">
        <v>3045</v>
      </c>
      <c r="E309" s="7" cm="1">
        <f t="array" ref="E309">_xlfn.XMATCH(F309&amp;G309&amp;H309, _xlfn.UNIQUE(F$2:F$369 &amp; G$2:G$369 &amp; H$2:H$369))</f>
        <v>48</v>
      </c>
      <c r="F309" s="8" t="s">
        <v>270</v>
      </c>
      <c r="G309" s="8" t="s">
        <v>271</v>
      </c>
      <c r="H309" s="8" t="s">
        <v>272</v>
      </c>
      <c r="I309" s="8" t="s">
        <v>1062</v>
      </c>
      <c r="J309" s="7"/>
      <c r="K309" s="8" t="s">
        <v>78</v>
      </c>
      <c r="L309" s="8" t="s">
        <v>801</v>
      </c>
      <c r="M309" s="8" t="s">
        <v>660</v>
      </c>
      <c r="N309" s="16" t="s">
        <v>1063</v>
      </c>
      <c r="O309" s="13">
        <v>400000</v>
      </c>
      <c r="P309" s="6">
        <v>0</v>
      </c>
      <c r="Q309" s="7">
        <v>60</v>
      </c>
      <c r="R309" s="8" t="s">
        <v>1064</v>
      </c>
      <c r="S309" s="15"/>
    </row>
    <row r="310" spans="1:19" x14ac:dyDescent="0.25">
      <c r="A310" s="10">
        <f t="shared" si="10"/>
        <v>2025</v>
      </c>
      <c r="B310" s="11" t="str">
        <f t="shared" si="11"/>
        <v>July</v>
      </c>
      <c r="C310" s="12">
        <v>45852</v>
      </c>
      <c r="D310" s="8">
        <v>3046</v>
      </c>
      <c r="E310" s="7" cm="1">
        <f t="array" ref="E310">_xlfn.XMATCH(F310&amp;G310&amp;H310, _xlfn.UNIQUE(F$2:F$369 &amp; G$2:G$369 &amp; H$2:H$369))</f>
        <v>48</v>
      </c>
      <c r="F310" s="8" t="s">
        <v>270</v>
      </c>
      <c r="G310" s="8" t="s">
        <v>271</v>
      </c>
      <c r="H310" s="8" t="s">
        <v>272</v>
      </c>
      <c r="I310" s="8" t="s">
        <v>1062</v>
      </c>
      <c r="J310" s="7"/>
      <c r="K310" s="8" t="s">
        <v>68</v>
      </c>
      <c r="L310" s="8"/>
      <c r="M310" s="8" t="s">
        <v>660</v>
      </c>
      <c r="N310" s="16" t="s">
        <v>1065</v>
      </c>
      <c r="O310" s="13">
        <v>1600000</v>
      </c>
      <c r="P310" s="6">
        <v>200000</v>
      </c>
      <c r="Q310" s="7">
        <v>60</v>
      </c>
      <c r="R310" s="8" t="s">
        <v>1066</v>
      </c>
      <c r="S310" s="15"/>
    </row>
    <row r="311" spans="1:19" x14ac:dyDescent="0.25">
      <c r="A311" s="10">
        <f t="shared" si="10"/>
        <v>2025</v>
      </c>
      <c r="B311" s="11" t="str">
        <f t="shared" si="11"/>
        <v>July</v>
      </c>
      <c r="C311" s="12">
        <v>45857</v>
      </c>
      <c r="D311" s="8">
        <v>3048</v>
      </c>
      <c r="E311" s="7" cm="1">
        <f t="array" ref="E311">_xlfn.XMATCH(F311&amp;G311&amp;H311, _xlfn.UNIQUE(F$2:F$369 &amp; G$2:G$369 &amp; H$2:H$369))</f>
        <v>191</v>
      </c>
      <c r="F311" s="8" t="s">
        <v>1067</v>
      </c>
      <c r="G311" s="8" t="s">
        <v>700</v>
      </c>
      <c r="H311" s="8" t="s">
        <v>600</v>
      </c>
      <c r="I311" s="8" t="s">
        <v>1068</v>
      </c>
      <c r="J311" s="7"/>
      <c r="K311" s="8" t="s">
        <v>22</v>
      </c>
      <c r="L311" s="8" t="s">
        <v>134</v>
      </c>
      <c r="M311" s="8" t="s">
        <v>660</v>
      </c>
      <c r="N311" s="16" t="s">
        <v>1069</v>
      </c>
      <c r="O311" s="13">
        <v>450000</v>
      </c>
      <c r="P311" s="6">
        <v>50000</v>
      </c>
      <c r="Q311" s="7">
        <v>36</v>
      </c>
      <c r="R311" s="8" t="s">
        <v>1034</v>
      </c>
      <c r="S311" s="15"/>
    </row>
    <row r="312" spans="1:19" x14ac:dyDescent="0.25">
      <c r="A312" s="10">
        <f t="shared" si="10"/>
        <v>2025</v>
      </c>
      <c r="B312" s="11" t="str">
        <f t="shared" si="11"/>
        <v>August</v>
      </c>
      <c r="C312" s="12">
        <v>45878</v>
      </c>
      <c r="D312" s="8">
        <v>3410</v>
      </c>
      <c r="E312" s="7" cm="1">
        <f t="array" ref="E312">_xlfn.XMATCH(F312&amp;G312&amp;H312, _xlfn.UNIQUE(F$2:F$369 &amp; G$2:G$369 &amp; H$2:H$369))</f>
        <v>192</v>
      </c>
      <c r="F312" s="8" t="s">
        <v>1070</v>
      </c>
      <c r="G312" s="8" t="s">
        <v>1071</v>
      </c>
      <c r="H312" s="8" t="s">
        <v>21</v>
      </c>
      <c r="I312" s="8" t="s">
        <v>1072</v>
      </c>
      <c r="J312" s="7"/>
      <c r="K312" s="8" t="s">
        <v>22</v>
      </c>
      <c r="L312" s="8" t="s">
        <v>134</v>
      </c>
      <c r="M312" s="8" t="s">
        <v>660</v>
      </c>
      <c r="N312" s="8" t="s">
        <v>1073</v>
      </c>
      <c r="O312" s="13">
        <v>450000</v>
      </c>
      <c r="P312" s="6">
        <v>0</v>
      </c>
      <c r="Q312" s="7">
        <v>30</v>
      </c>
      <c r="R312" s="8" t="s">
        <v>1074</v>
      </c>
      <c r="S312" s="15"/>
    </row>
    <row r="313" spans="1:19" x14ac:dyDescent="0.25">
      <c r="A313" s="18">
        <f t="shared" si="10"/>
        <v>2025</v>
      </c>
      <c r="B313" s="11" t="str">
        <f t="shared" si="11"/>
        <v>August</v>
      </c>
      <c r="C313" s="12">
        <v>45892</v>
      </c>
      <c r="D313" s="7">
        <v>3353</v>
      </c>
      <c r="E313" s="7" cm="1">
        <f t="array" ref="E313">_xlfn.XMATCH(F313&amp;G313&amp;H313, _xlfn.UNIQUE(F$2:F$369 &amp; G$2:G$369 &amp; H$2:H$369))</f>
        <v>193</v>
      </c>
      <c r="F313" s="8" t="s">
        <v>1075</v>
      </c>
      <c r="G313" s="8" t="s">
        <v>1076</v>
      </c>
      <c r="H313" s="8" t="s">
        <v>1077</v>
      </c>
      <c r="I313" s="8" t="s">
        <v>1078</v>
      </c>
      <c r="J313" s="7"/>
      <c r="K313" s="8" t="s">
        <v>22</v>
      </c>
      <c r="L313" s="8" t="s">
        <v>134</v>
      </c>
      <c r="M313" s="8" t="s">
        <v>660</v>
      </c>
      <c r="N313" s="8" t="s">
        <v>1079</v>
      </c>
      <c r="O313" s="19">
        <v>450000</v>
      </c>
      <c r="P313" s="6">
        <v>0</v>
      </c>
      <c r="Q313" s="7">
        <v>36</v>
      </c>
      <c r="R313" s="8" t="s">
        <v>1074</v>
      </c>
      <c r="S313" s="15"/>
    </row>
    <row r="314" spans="1:19" x14ac:dyDescent="0.25">
      <c r="A314" s="18">
        <f t="shared" si="10"/>
        <v>2025</v>
      </c>
      <c r="B314" s="11" t="str">
        <f t="shared" si="11"/>
        <v>August</v>
      </c>
      <c r="C314" s="12">
        <v>45893</v>
      </c>
      <c r="D314" s="7">
        <v>3354</v>
      </c>
      <c r="E314" s="7" cm="1">
        <f t="array" ref="E314">_xlfn.XMATCH(F314&amp;G314&amp;H314, _xlfn.UNIQUE(F$2:F$369 &amp; G$2:G$369 &amp; H$2:H$369))</f>
        <v>194</v>
      </c>
      <c r="F314" s="8" t="s">
        <v>1080</v>
      </c>
      <c r="G314" s="8" t="s">
        <v>1081</v>
      </c>
      <c r="H314" s="8" t="s">
        <v>1082</v>
      </c>
      <c r="I314" s="8" t="s">
        <v>1083</v>
      </c>
      <c r="J314" s="7"/>
      <c r="K314" s="8" t="s">
        <v>22</v>
      </c>
      <c r="L314" s="8" t="s">
        <v>134</v>
      </c>
      <c r="M314" s="8" t="s">
        <v>660</v>
      </c>
      <c r="N314" s="8" t="s">
        <v>1084</v>
      </c>
      <c r="O314" s="19">
        <v>450000</v>
      </c>
      <c r="P314" s="6">
        <v>50000</v>
      </c>
      <c r="Q314" s="7">
        <v>36</v>
      </c>
      <c r="R314" s="8" t="s">
        <v>1074</v>
      </c>
      <c r="S314" s="15"/>
    </row>
    <row r="315" spans="1:19" x14ac:dyDescent="0.25">
      <c r="A315" s="18">
        <f t="shared" si="10"/>
        <v>2025</v>
      </c>
      <c r="B315" s="11" t="str">
        <f t="shared" si="11"/>
        <v>August</v>
      </c>
      <c r="C315" s="12">
        <v>45895</v>
      </c>
      <c r="D315" s="7">
        <v>3355</v>
      </c>
      <c r="E315" s="7" cm="1">
        <f t="array" ref="E315">_xlfn.XMATCH(F315&amp;G315&amp;H315, _xlfn.UNIQUE(F$2:F$369 &amp; G$2:G$369 &amp; H$2:H$369))</f>
        <v>195</v>
      </c>
      <c r="F315" s="8" t="s">
        <v>1085</v>
      </c>
      <c r="G315" s="8" t="s">
        <v>1081</v>
      </c>
      <c r="H315" s="8" t="s">
        <v>1082</v>
      </c>
      <c r="I315" s="8"/>
      <c r="J315" s="7"/>
      <c r="K315" s="8" t="s">
        <v>78</v>
      </c>
      <c r="L315" s="8" t="s">
        <v>801</v>
      </c>
      <c r="M315" s="8" t="s">
        <v>660</v>
      </c>
      <c r="N315" s="8" t="s">
        <v>1086</v>
      </c>
      <c r="O315" s="19">
        <v>450000</v>
      </c>
      <c r="P315" s="6">
        <v>0</v>
      </c>
      <c r="Q315" s="7">
        <v>36</v>
      </c>
      <c r="R315" s="8" t="s">
        <v>1087</v>
      </c>
      <c r="S315" s="15"/>
    </row>
    <row r="316" spans="1:19" x14ac:dyDescent="0.25">
      <c r="A316" s="10">
        <f t="shared" si="10"/>
        <v>2025</v>
      </c>
      <c r="B316" s="11" t="str">
        <f t="shared" si="11"/>
        <v>August</v>
      </c>
      <c r="C316" s="12">
        <v>45896</v>
      </c>
      <c r="D316" s="8">
        <v>3519</v>
      </c>
      <c r="E316" s="7" cm="1">
        <f t="array" ref="E316">_xlfn.XMATCH(F316&amp;G316&amp;H316, _xlfn.UNIQUE(F$2:F$369 &amp; G$2:G$369 &amp; H$2:H$369))</f>
        <v>139</v>
      </c>
      <c r="F316" s="8" t="s">
        <v>813</v>
      </c>
      <c r="G316" s="8" t="s">
        <v>214</v>
      </c>
      <c r="H316" s="8" t="s">
        <v>116</v>
      </c>
      <c r="I316" s="8" t="s">
        <v>1088</v>
      </c>
      <c r="J316" s="7"/>
      <c r="K316" s="8" t="s">
        <v>78</v>
      </c>
      <c r="L316" s="8" t="s">
        <v>801</v>
      </c>
      <c r="M316" s="8" t="s">
        <v>660</v>
      </c>
      <c r="N316" s="16" t="s">
        <v>1089</v>
      </c>
      <c r="O316" s="13">
        <v>400000</v>
      </c>
      <c r="P316" s="6">
        <v>100000</v>
      </c>
      <c r="Q316" s="7">
        <v>24</v>
      </c>
      <c r="R316" s="8" t="s">
        <v>1087</v>
      </c>
      <c r="S316" s="15"/>
    </row>
    <row r="317" spans="1:19" x14ac:dyDescent="0.25">
      <c r="A317" s="10">
        <f t="shared" si="10"/>
        <v>2025</v>
      </c>
      <c r="B317" s="11" t="str">
        <f t="shared" si="11"/>
        <v>September</v>
      </c>
      <c r="C317" s="12">
        <v>45908</v>
      </c>
      <c r="D317" s="8">
        <v>3606</v>
      </c>
      <c r="E317" s="7" cm="1">
        <f t="array" ref="E317">_xlfn.XMATCH(F317&amp;G317&amp;H317, _xlfn.UNIQUE(F$2:F$369 &amp; G$2:G$369 &amp; H$2:H$369))</f>
        <v>196</v>
      </c>
      <c r="F317" s="8" t="s">
        <v>1090</v>
      </c>
      <c r="G317" s="8" t="s">
        <v>1091</v>
      </c>
      <c r="H317" s="8" t="s">
        <v>963</v>
      </c>
      <c r="I317" s="8" t="s">
        <v>964</v>
      </c>
      <c r="J317" s="7"/>
      <c r="K317" s="8" t="s">
        <v>22</v>
      </c>
      <c r="L317" s="8" t="s">
        <v>134</v>
      </c>
      <c r="M317" s="8" t="s">
        <v>660</v>
      </c>
      <c r="N317" s="16" t="s">
        <v>1092</v>
      </c>
      <c r="O317" s="13">
        <v>350000</v>
      </c>
      <c r="P317" s="6">
        <v>50000</v>
      </c>
      <c r="Q317" s="7">
        <v>36</v>
      </c>
      <c r="R317" s="8" t="s">
        <v>1074</v>
      </c>
      <c r="S317" s="15"/>
    </row>
    <row r="318" spans="1:19" x14ac:dyDescent="0.25">
      <c r="A318" s="10">
        <f t="shared" si="10"/>
        <v>2025</v>
      </c>
      <c r="B318" s="11" t="str">
        <f t="shared" si="11"/>
        <v>September</v>
      </c>
      <c r="C318" s="12">
        <v>45908</v>
      </c>
      <c r="D318" s="8">
        <v>3607</v>
      </c>
      <c r="E318" s="7" cm="1">
        <f t="array" ref="E318">_xlfn.XMATCH(F318&amp;G318&amp;H318, _xlfn.UNIQUE(F$2:F$369 &amp; G$2:G$369 &amp; H$2:H$369))</f>
        <v>196</v>
      </c>
      <c r="F318" s="8" t="s">
        <v>1090</v>
      </c>
      <c r="G318" s="8" t="s">
        <v>1091</v>
      </c>
      <c r="H318" s="8" t="s">
        <v>963</v>
      </c>
      <c r="I318" s="8" t="s">
        <v>964</v>
      </c>
      <c r="J318" s="7"/>
      <c r="K318" s="8" t="s">
        <v>78</v>
      </c>
      <c r="L318" s="8" t="s">
        <v>801</v>
      </c>
      <c r="M318" s="8" t="s">
        <v>660</v>
      </c>
      <c r="N318" s="16" t="s">
        <v>1093</v>
      </c>
      <c r="O318" s="13">
        <v>350000</v>
      </c>
      <c r="P318" s="6">
        <v>50000</v>
      </c>
      <c r="Q318" s="7">
        <v>36</v>
      </c>
      <c r="R318" s="8" t="s">
        <v>1087</v>
      </c>
      <c r="S318" s="15"/>
    </row>
    <row r="319" spans="1:19" x14ac:dyDescent="0.25">
      <c r="A319" s="10">
        <f t="shared" si="10"/>
        <v>2025</v>
      </c>
      <c r="B319" s="11" t="str">
        <f t="shared" si="11"/>
        <v>September</v>
      </c>
      <c r="C319" s="12">
        <v>45911</v>
      </c>
      <c r="D319" s="8">
        <v>3312</v>
      </c>
      <c r="E319" s="7" cm="1">
        <f t="array" ref="E319">_xlfn.XMATCH(F319&amp;G319&amp;H319, _xlfn.UNIQUE(F$2:F$369 &amp; G$2:G$369 &amp; H$2:H$369))</f>
        <v>197</v>
      </c>
      <c r="F319" s="8" t="s">
        <v>1094</v>
      </c>
      <c r="G319" s="8" t="s">
        <v>1095</v>
      </c>
      <c r="H319" s="8" t="s">
        <v>1096</v>
      </c>
      <c r="I319" s="8" t="s">
        <v>1097</v>
      </c>
      <c r="J319" s="7"/>
      <c r="K319" s="8" t="s">
        <v>22</v>
      </c>
      <c r="L319" s="8" t="s">
        <v>134</v>
      </c>
      <c r="M319" s="8" t="s">
        <v>660</v>
      </c>
      <c r="N319" s="16" t="s">
        <v>1098</v>
      </c>
      <c r="O319" s="13">
        <v>400000</v>
      </c>
      <c r="P319" s="6">
        <v>50000</v>
      </c>
      <c r="Q319" s="7">
        <v>36</v>
      </c>
      <c r="R319" s="8" t="s">
        <v>1074</v>
      </c>
      <c r="S319" s="15"/>
    </row>
    <row r="320" spans="1:19" x14ac:dyDescent="0.25">
      <c r="A320" s="10">
        <f t="shared" si="10"/>
        <v>2025</v>
      </c>
      <c r="B320" s="11" t="str">
        <f t="shared" si="11"/>
        <v>September</v>
      </c>
      <c r="C320" s="12">
        <v>45911</v>
      </c>
      <c r="D320" s="8">
        <v>3313</v>
      </c>
      <c r="E320" s="7" cm="1">
        <f t="array" ref="E320">_xlfn.XMATCH(F320&amp;G320&amp;H320, _xlfn.UNIQUE(F$2:F$369 &amp; G$2:G$369 &amp; H$2:H$369))</f>
        <v>197</v>
      </c>
      <c r="F320" s="8" t="s">
        <v>1094</v>
      </c>
      <c r="G320" s="8" t="s">
        <v>1095</v>
      </c>
      <c r="H320" s="8" t="s">
        <v>1096</v>
      </c>
      <c r="I320" s="8" t="s">
        <v>1097</v>
      </c>
      <c r="J320" s="7"/>
      <c r="K320" s="8" t="s">
        <v>78</v>
      </c>
      <c r="L320" s="8" t="s">
        <v>801</v>
      </c>
      <c r="M320" s="8" t="s">
        <v>660</v>
      </c>
      <c r="N320" s="16" t="s">
        <v>1099</v>
      </c>
      <c r="O320" s="13">
        <v>400000</v>
      </c>
      <c r="P320" s="6">
        <v>50000</v>
      </c>
      <c r="Q320" s="7">
        <v>36</v>
      </c>
      <c r="R320" s="8" t="s">
        <v>1087</v>
      </c>
      <c r="S320" s="15"/>
    </row>
    <row r="321" spans="1:19" x14ac:dyDescent="0.25">
      <c r="A321" s="10">
        <f t="shared" si="10"/>
        <v>2025</v>
      </c>
      <c r="B321" s="11" t="str">
        <f t="shared" si="11"/>
        <v>September</v>
      </c>
      <c r="C321" s="12">
        <v>45916</v>
      </c>
      <c r="D321" s="8">
        <v>3428</v>
      </c>
      <c r="E321" s="7" cm="1">
        <f t="array" ref="E321">_xlfn.XMATCH(F321&amp;G321&amp;H321, _xlfn.UNIQUE(F$2:F$369 &amp; G$2:G$369 &amp; H$2:H$369))</f>
        <v>198</v>
      </c>
      <c r="F321" s="8" t="s">
        <v>1100</v>
      </c>
      <c r="G321" s="8" t="s">
        <v>1101</v>
      </c>
      <c r="H321" s="8" t="s">
        <v>37</v>
      </c>
      <c r="I321" s="8" t="s">
        <v>1102</v>
      </c>
      <c r="J321" s="7"/>
      <c r="K321" s="8" t="s">
        <v>22</v>
      </c>
      <c r="L321" s="8" t="s">
        <v>134</v>
      </c>
      <c r="M321" s="8" t="s">
        <v>660</v>
      </c>
      <c r="N321" s="16" t="s">
        <v>1103</v>
      </c>
      <c r="O321" s="13">
        <v>400000</v>
      </c>
      <c r="P321" s="6">
        <v>0</v>
      </c>
      <c r="Q321" s="7">
        <v>24</v>
      </c>
      <c r="R321" s="8" t="s">
        <v>1074</v>
      </c>
      <c r="S321" s="15"/>
    </row>
    <row r="322" spans="1:19" x14ac:dyDescent="0.25">
      <c r="A322" s="18">
        <f t="shared" si="10"/>
        <v>2025</v>
      </c>
      <c r="B322" s="11" t="str">
        <f t="shared" si="11"/>
        <v>September</v>
      </c>
      <c r="C322" s="12">
        <v>45925</v>
      </c>
      <c r="D322" s="7">
        <v>3358</v>
      </c>
      <c r="E322" s="7" cm="1">
        <f t="array" ref="E322">_xlfn.XMATCH(F322&amp;G322&amp;H322, _xlfn.UNIQUE(F$2:F$369 &amp; G$2:G$369 &amp; H$2:H$369))</f>
        <v>199</v>
      </c>
      <c r="F322" s="8" t="s">
        <v>1104</v>
      </c>
      <c r="G322" s="8" t="s">
        <v>1105</v>
      </c>
      <c r="H322" s="8" t="s">
        <v>1106</v>
      </c>
      <c r="I322" s="8"/>
      <c r="J322" s="7"/>
      <c r="K322" s="8" t="s">
        <v>22</v>
      </c>
      <c r="L322" s="8" t="s">
        <v>134</v>
      </c>
      <c r="M322" s="8" t="s">
        <v>660</v>
      </c>
      <c r="N322" s="16" t="s">
        <v>1107</v>
      </c>
      <c r="O322" s="19">
        <v>450000</v>
      </c>
      <c r="P322" s="6">
        <v>0</v>
      </c>
      <c r="Q322" s="7">
        <v>36</v>
      </c>
      <c r="R322" s="8" t="s">
        <v>1074</v>
      </c>
      <c r="S322" s="15"/>
    </row>
    <row r="323" spans="1:19" x14ac:dyDescent="0.25">
      <c r="A323" s="10">
        <f t="shared" si="10"/>
        <v>2025</v>
      </c>
      <c r="B323" s="11" t="str">
        <f t="shared" si="11"/>
        <v>October</v>
      </c>
      <c r="C323" s="12">
        <v>45932</v>
      </c>
      <c r="D323" s="8">
        <v>3673</v>
      </c>
      <c r="E323" s="7" cm="1">
        <f t="array" ref="E323">_xlfn.XMATCH(F323&amp;G323&amp;H323, _xlfn.UNIQUE(F$2:F$369 &amp; G$2:G$369 &amp; H$2:H$369))</f>
        <v>111</v>
      </c>
      <c r="F323" s="8" t="s">
        <v>604</v>
      </c>
      <c r="G323" s="8" t="s">
        <v>605</v>
      </c>
      <c r="H323" s="8" t="s">
        <v>606</v>
      </c>
      <c r="I323" s="8" t="s">
        <v>1108</v>
      </c>
      <c r="J323" s="7"/>
      <c r="K323" s="8" t="s">
        <v>78</v>
      </c>
      <c r="L323" s="8" t="s">
        <v>801</v>
      </c>
      <c r="M323" s="8" t="s">
        <v>660</v>
      </c>
      <c r="N323" s="16" t="s">
        <v>1109</v>
      </c>
      <c r="O323" s="13">
        <v>380000</v>
      </c>
      <c r="P323" s="6">
        <v>50000</v>
      </c>
      <c r="Q323" s="7">
        <v>33</v>
      </c>
      <c r="R323" s="8" t="s">
        <v>1110</v>
      </c>
      <c r="S323" s="15"/>
    </row>
    <row r="324" spans="1:19" x14ac:dyDescent="0.25">
      <c r="A324" s="10">
        <f t="shared" si="10"/>
        <v>2025</v>
      </c>
      <c r="B324" s="11" t="str">
        <f t="shared" si="11"/>
        <v>October</v>
      </c>
      <c r="C324" s="12">
        <v>45932</v>
      </c>
      <c r="D324" s="8">
        <v>3801</v>
      </c>
      <c r="E324" s="7" cm="1">
        <f t="array" ref="E324">_xlfn.XMATCH(F324&amp;G324&amp;H324, _xlfn.UNIQUE(F$2:F$369 &amp; G$2:G$369 &amp; H$2:H$369))</f>
        <v>200</v>
      </c>
      <c r="F324" s="8" t="s">
        <v>1111</v>
      </c>
      <c r="G324" s="8" t="s">
        <v>1112</v>
      </c>
      <c r="H324" s="8" t="s">
        <v>1113</v>
      </c>
      <c r="I324" s="8" t="s">
        <v>1114</v>
      </c>
      <c r="J324" s="7"/>
      <c r="K324" s="8" t="s">
        <v>22</v>
      </c>
      <c r="L324" s="8" t="s">
        <v>134</v>
      </c>
      <c r="M324" s="8" t="s">
        <v>660</v>
      </c>
      <c r="N324" s="16" t="s">
        <v>1115</v>
      </c>
      <c r="O324" s="13">
        <v>450000</v>
      </c>
      <c r="P324" s="6">
        <v>50000</v>
      </c>
      <c r="Q324" s="7">
        <v>12</v>
      </c>
      <c r="R324" s="8" t="s">
        <v>1116</v>
      </c>
      <c r="S324" s="15"/>
    </row>
    <row r="325" spans="1:19" x14ac:dyDescent="0.25">
      <c r="A325" s="10">
        <f t="shared" si="10"/>
        <v>2025</v>
      </c>
      <c r="B325" s="11" t="str">
        <f t="shared" si="11"/>
        <v>October</v>
      </c>
      <c r="C325" s="12">
        <v>45959</v>
      </c>
      <c r="D325" s="8">
        <v>3906</v>
      </c>
      <c r="E325" s="7" cm="1">
        <f t="array" ref="E325">_xlfn.XMATCH(F325&amp;G325&amp;H325, _xlfn.UNIQUE(F$2:F$369 &amp; G$2:G$369 &amp; H$2:H$369))</f>
        <v>81</v>
      </c>
      <c r="F325" s="8" t="s">
        <v>459</v>
      </c>
      <c r="G325" s="8" t="s">
        <v>460</v>
      </c>
      <c r="H325" s="8" t="s">
        <v>461</v>
      </c>
      <c r="I325" s="8"/>
      <c r="J325" s="7"/>
      <c r="K325" s="8" t="s">
        <v>68</v>
      </c>
      <c r="L325" s="8"/>
      <c r="M325" s="8" t="s">
        <v>660</v>
      </c>
      <c r="N325" s="8" t="s">
        <v>1117</v>
      </c>
      <c r="O325" s="13">
        <v>1500000</v>
      </c>
      <c r="P325" s="6">
        <v>400000</v>
      </c>
      <c r="Q325" s="7">
        <v>60</v>
      </c>
      <c r="R325" s="8" t="s">
        <v>1118</v>
      </c>
      <c r="S325" s="15"/>
    </row>
    <row r="326" spans="1:19" x14ac:dyDescent="0.25">
      <c r="A326" s="10">
        <f t="shared" si="10"/>
        <v>2025</v>
      </c>
      <c r="B326" s="11" t="str">
        <f t="shared" si="11"/>
        <v>October</v>
      </c>
      <c r="C326" s="12">
        <v>45959</v>
      </c>
      <c r="D326" s="8">
        <v>3905</v>
      </c>
      <c r="E326" s="7" cm="1">
        <f t="array" ref="E326">_xlfn.XMATCH(F326&amp;G326&amp;H326, _xlfn.UNIQUE(F$2:F$369 &amp; G$2:G$369 &amp; H$2:H$369))</f>
        <v>201</v>
      </c>
      <c r="F326" s="8" t="s">
        <v>1119</v>
      </c>
      <c r="G326" s="8" t="s">
        <v>460</v>
      </c>
      <c r="H326" s="8" t="s">
        <v>461</v>
      </c>
      <c r="I326" s="8" t="s">
        <v>1120</v>
      </c>
      <c r="J326" s="7"/>
      <c r="K326" s="8" t="s">
        <v>68</v>
      </c>
      <c r="L326" s="8"/>
      <c r="M326" s="8" t="s">
        <v>660</v>
      </c>
      <c r="N326" s="8" t="s">
        <v>1121</v>
      </c>
      <c r="O326" s="13">
        <v>1800000</v>
      </c>
      <c r="P326" s="6">
        <v>180000</v>
      </c>
      <c r="Q326" s="7">
        <v>60</v>
      </c>
      <c r="R326" s="8" t="s">
        <v>1118</v>
      </c>
      <c r="S326" s="15"/>
    </row>
    <row r="327" spans="1:19" x14ac:dyDescent="0.25">
      <c r="A327" s="18">
        <f t="shared" si="10"/>
        <v>2025</v>
      </c>
      <c r="B327" s="11" t="str">
        <f t="shared" si="11"/>
        <v>November</v>
      </c>
      <c r="C327" s="12">
        <v>45964</v>
      </c>
      <c r="D327" s="7">
        <v>3365</v>
      </c>
      <c r="E327" s="7" cm="1">
        <f t="array" ref="E327">_xlfn.XMATCH(F327&amp;G327&amp;H327, _xlfn.UNIQUE(F$2:F$369 &amp; G$2:G$369 &amp; H$2:H$369))</f>
        <v>202</v>
      </c>
      <c r="F327" s="8" t="s">
        <v>1122</v>
      </c>
      <c r="G327" s="8" t="s">
        <v>1123</v>
      </c>
      <c r="H327" s="8" t="s">
        <v>1124</v>
      </c>
      <c r="I327" s="8" t="s">
        <v>1125</v>
      </c>
      <c r="J327" s="7"/>
      <c r="K327" s="8" t="s">
        <v>22</v>
      </c>
      <c r="L327" s="8" t="s">
        <v>134</v>
      </c>
      <c r="M327" s="8" t="s">
        <v>660</v>
      </c>
      <c r="N327" s="8" t="s">
        <v>1126</v>
      </c>
      <c r="O327" s="19">
        <v>450000</v>
      </c>
      <c r="P327" s="6">
        <v>50000</v>
      </c>
      <c r="Q327" s="7">
        <v>36</v>
      </c>
      <c r="R327" s="8" t="s">
        <v>1127</v>
      </c>
      <c r="S327" s="15"/>
    </row>
    <row r="328" spans="1:19" x14ac:dyDescent="0.25">
      <c r="A328" s="47">
        <f t="shared" si="10"/>
        <v>2025</v>
      </c>
      <c r="B328" s="34" t="str">
        <f t="shared" si="11"/>
        <v>November</v>
      </c>
      <c r="C328" s="35">
        <v>45965</v>
      </c>
      <c r="D328" s="39">
        <v>3366</v>
      </c>
      <c r="E328" s="7" cm="1">
        <f t="array" ref="E328">_xlfn.XMATCH(F328&amp;G328&amp;H328, _xlfn.UNIQUE(F$2:F$369 &amp; G$2:G$369 &amp; H$2:H$369))</f>
        <v>203</v>
      </c>
      <c r="F328" s="36" t="s">
        <v>1128</v>
      </c>
      <c r="G328" s="36" t="s">
        <v>1129</v>
      </c>
      <c r="H328" s="36" t="s">
        <v>1082</v>
      </c>
      <c r="I328" s="36" t="s">
        <v>1130</v>
      </c>
      <c r="J328" s="39"/>
      <c r="K328" s="36" t="s">
        <v>22</v>
      </c>
      <c r="L328" s="36" t="s">
        <v>134</v>
      </c>
      <c r="M328" s="36" t="s">
        <v>660</v>
      </c>
      <c r="N328" s="36" t="s">
        <v>1131</v>
      </c>
      <c r="O328" s="48">
        <v>450000</v>
      </c>
      <c r="P328" s="38">
        <v>0</v>
      </c>
      <c r="Q328" s="39">
        <v>36</v>
      </c>
      <c r="R328" s="36" t="s">
        <v>1127</v>
      </c>
      <c r="S328" s="40" t="s">
        <v>1132</v>
      </c>
    </row>
    <row r="329" spans="1:19" x14ac:dyDescent="0.25">
      <c r="A329" s="10">
        <f t="shared" si="10"/>
        <v>2025</v>
      </c>
      <c r="B329" s="11" t="str">
        <f t="shared" si="11"/>
        <v>November</v>
      </c>
      <c r="C329" s="12">
        <v>45966</v>
      </c>
      <c r="D329" s="8">
        <v>3755</v>
      </c>
      <c r="E329" s="7" cm="1">
        <f t="array" ref="E329">_xlfn.XMATCH(F329&amp;G329&amp;H329, _xlfn.UNIQUE(F$2:F$369 &amp; G$2:G$369 &amp; H$2:H$369))</f>
        <v>204</v>
      </c>
      <c r="F329" s="8" t="s">
        <v>1133</v>
      </c>
      <c r="G329" s="8" t="s">
        <v>1134</v>
      </c>
      <c r="H329" s="8" t="s">
        <v>196</v>
      </c>
      <c r="I329" s="8" t="s">
        <v>1135</v>
      </c>
      <c r="J329" s="7"/>
      <c r="K329" s="8" t="s">
        <v>78</v>
      </c>
      <c r="L329" s="8" t="s">
        <v>79</v>
      </c>
      <c r="M329" s="8" t="s">
        <v>1136</v>
      </c>
      <c r="N329" s="16" t="s">
        <v>1137</v>
      </c>
      <c r="O329" s="13">
        <v>300000</v>
      </c>
      <c r="P329" s="6">
        <v>300000</v>
      </c>
      <c r="Q329" s="7">
        <v>0</v>
      </c>
      <c r="R329" s="8" t="s">
        <v>1138</v>
      </c>
      <c r="S329" s="49" t="s">
        <v>1139</v>
      </c>
    </row>
    <row r="330" spans="1:19" x14ac:dyDescent="0.25">
      <c r="A330" s="10">
        <f t="shared" si="10"/>
        <v>2025</v>
      </c>
      <c r="B330" s="11" t="str">
        <f t="shared" si="11"/>
        <v>November</v>
      </c>
      <c r="C330" s="12">
        <v>45967</v>
      </c>
      <c r="D330" s="8">
        <v>3758</v>
      </c>
      <c r="E330" s="7" cm="1">
        <f t="array" ref="E330">_xlfn.XMATCH(F330&amp;G330&amp;H330, _xlfn.UNIQUE(F$2:F$369 &amp; G$2:G$369 &amp; H$2:H$369))</f>
        <v>204</v>
      </c>
      <c r="F330" s="8" t="s">
        <v>1133</v>
      </c>
      <c r="G330" s="8" t="s">
        <v>1134</v>
      </c>
      <c r="H330" s="8" t="s">
        <v>196</v>
      </c>
      <c r="I330" s="8" t="s">
        <v>1135</v>
      </c>
      <c r="J330" s="7"/>
      <c r="K330" s="8" t="s">
        <v>22</v>
      </c>
      <c r="L330" s="8" t="s">
        <v>134</v>
      </c>
      <c r="M330" s="8" t="s">
        <v>1136</v>
      </c>
      <c r="N330" s="8" t="s">
        <v>896</v>
      </c>
      <c r="O330" s="13">
        <v>300000</v>
      </c>
      <c r="P330" s="6">
        <v>300000</v>
      </c>
      <c r="Q330" s="7">
        <v>0</v>
      </c>
      <c r="R330" s="8" t="s">
        <v>1074</v>
      </c>
      <c r="S330" s="49" t="s">
        <v>1140</v>
      </c>
    </row>
    <row r="331" spans="1:19" x14ac:dyDescent="0.25">
      <c r="A331" s="10">
        <f t="shared" si="10"/>
        <v>2025</v>
      </c>
      <c r="B331" s="11" t="str">
        <f t="shared" si="11"/>
        <v>November</v>
      </c>
      <c r="C331" s="12">
        <v>45973</v>
      </c>
      <c r="D331" s="8">
        <v>3807</v>
      </c>
      <c r="E331" s="7" cm="1">
        <f t="array" ref="E331">_xlfn.XMATCH(F331&amp;G331&amp;H331, _xlfn.UNIQUE(F$2:F$369 &amp; G$2:G$369 &amp; H$2:H$369))</f>
        <v>205</v>
      </c>
      <c r="F331" s="8" t="s">
        <v>1141</v>
      </c>
      <c r="G331" s="8" t="s">
        <v>1142</v>
      </c>
      <c r="H331" s="8" t="s">
        <v>1143</v>
      </c>
      <c r="I331" s="8" t="s">
        <v>1144</v>
      </c>
      <c r="J331" s="7"/>
      <c r="K331" s="8" t="s">
        <v>22</v>
      </c>
      <c r="L331" s="8" t="s">
        <v>134</v>
      </c>
      <c r="M331" s="8" t="s">
        <v>660</v>
      </c>
      <c r="N331" s="8" t="s">
        <v>1145</v>
      </c>
      <c r="O331" s="13">
        <v>450000</v>
      </c>
      <c r="P331" s="6">
        <v>50000</v>
      </c>
      <c r="Q331" s="7">
        <v>24</v>
      </c>
      <c r="R331" s="8" t="s">
        <v>1127</v>
      </c>
      <c r="S331" s="15"/>
    </row>
    <row r="332" spans="1:19" x14ac:dyDescent="0.25">
      <c r="A332" s="10">
        <f t="shared" si="10"/>
        <v>2025</v>
      </c>
      <c r="B332" s="11" t="str">
        <f t="shared" si="11"/>
        <v>November</v>
      </c>
      <c r="C332" s="12">
        <v>45979</v>
      </c>
      <c r="D332" s="8">
        <v>3321</v>
      </c>
      <c r="E332" s="7" cm="1">
        <f t="array" ref="E332">_xlfn.XMATCH(F332&amp;G332&amp;H332, _xlfn.UNIQUE(F$2:F$369 &amp; G$2:G$369 &amp; H$2:H$369))</f>
        <v>206</v>
      </c>
      <c r="F332" s="8" t="s">
        <v>1146</v>
      </c>
      <c r="G332" s="8" t="s">
        <v>1147</v>
      </c>
      <c r="H332" s="8" t="s">
        <v>1148</v>
      </c>
      <c r="I332" s="8" t="s">
        <v>1149</v>
      </c>
      <c r="J332" s="7"/>
      <c r="K332" s="8" t="s">
        <v>809</v>
      </c>
      <c r="L332" s="8" t="s">
        <v>343</v>
      </c>
      <c r="M332" s="8" t="s">
        <v>660</v>
      </c>
      <c r="N332" s="8" t="s">
        <v>1150</v>
      </c>
      <c r="O332" s="13">
        <v>550000</v>
      </c>
      <c r="P332" s="6">
        <v>50000</v>
      </c>
      <c r="Q332" s="7">
        <v>36</v>
      </c>
      <c r="R332" s="8" t="s">
        <v>1151</v>
      </c>
      <c r="S332" s="15"/>
    </row>
    <row r="333" spans="1:19" x14ac:dyDescent="0.25">
      <c r="A333" s="18">
        <f t="shared" si="10"/>
        <v>2025</v>
      </c>
      <c r="B333" s="11" t="str">
        <f t="shared" si="11"/>
        <v>November</v>
      </c>
      <c r="C333" s="12">
        <v>45980</v>
      </c>
      <c r="D333" s="7">
        <v>3367</v>
      </c>
      <c r="E333" s="7" cm="1">
        <f t="array" ref="E333">_xlfn.XMATCH(F333&amp;G333&amp;H333, _xlfn.UNIQUE(F$2:F$369 &amp; G$2:G$369 &amp; H$2:H$369))</f>
        <v>207</v>
      </c>
      <c r="F333" s="8" t="s">
        <v>1152</v>
      </c>
      <c r="G333" s="8" t="s">
        <v>1153</v>
      </c>
      <c r="H333" s="8" t="s">
        <v>1154</v>
      </c>
      <c r="I333" s="8" t="s">
        <v>1155</v>
      </c>
      <c r="J333" s="7"/>
      <c r="K333" s="8" t="s">
        <v>809</v>
      </c>
      <c r="L333" s="8" t="s">
        <v>675</v>
      </c>
      <c r="M333" s="8" t="s">
        <v>660</v>
      </c>
      <c r="N333" s="8" t="s">
        <v>1156</v>
      </c>
      <c r="O333" s="19">
        <v>280000</v>
      </c>
      <c r="P333" s="6">
        <v>30000</v>
      </c>
      <c r="Q333" s="7">
        <v>12</v>
      </c>
      <c r="R333" s="8" t="s">
        <v>1052</v>
      </c>
      <c r="S333" s="15"/>
    </row>
    <row r="334" spans="1:19" x14ac:dyDescent="0.25">
      <c r="A334" s="10">
        <f t="shared" si="10"/>
        <v>2025</v>
      </c>
      <c r="B334" s="11" t="str">
        <f t="shared" si="11"/>
        <v>November</v>
      </c>
      <c r="C334" s="12">
        <v>45981</v>
      </c>
      <c r="D334" s="8">
        <v>3625</v>
      </c>
      <c r="E334" s="7" cm="1">
        <f t="array" ref="E334">_xlfn.XMATCH(F334&amp;G334&amp;H334, _xlfn.UNIQUE(F$2:F$369 &amp; G$2:G$369 &amp; H$2:H$369))</f>
        <v>188</v>
      </c>
      <c r="F334" s="8" t="s">
        <v>1041</v>
      </c>
      <c r="G334" s="8" t="s">
        <v>1042</v>
      </c>
      <c r="H334" s="8" t="s">
        <v>819</v>
      </c>
      <c r="I334" s="8" t="s">
        <v>1043</v>
      </c>
      <c r="J334" s="7"/>
      <c r="K334" s="8" t="s">
        <v>564</v>
      </c>
      <c r="L334" s="8" t="s">
        <v>565</v>
      </c>
      <c r="M334" s="8" t="s">
        <v>660</v>
      </c>
      <c r="N334" s="8" t="s">
        <v>1157</v>
      </c>
      <c r="O334" s="13" t="s">
        <v>662</v>
      </c>
      <c r="P334" s="6"/>
      <c r="Q334" s="7"/>
      <c r="R334" s="8" t="s">
        <v>1158</v>
      </c>
      <c r="S334" s="15"/>
    </row>
    <row r="335" spans="1:19" x14ac:dyDescent="0.25">
      <c r="A335" s="10">
        <f t="shared" si="10"/>
        <v>2025</v>
      </c>
      <c r="B335" s="11" t="str">
        <f t="shared" si="11"/>
        <v>November</v>
      </c>
      <c r="C335" s="12">
        <v>45981</v>
      </c>
      <c r="D335" s="8">
        <v>3624</v>
      </c>
      <c r="E335" s="7" cm="1">
        <f t="array" ref="E335">_xlfn.XMATCH(F335&amp;G335&amp;H335, _xlfn.UNIQUE(F$2:F$369 &amp; G$2:G$369 &amp; H$2:H$369))</f>
        <v>208</v>
      </c>
      <c r="F335" s="8" t="s">
        <v>1159</v>
      </c>
      <c r="G335" s="8" t="s">
        <v>642</v>
      </c>
      <c r="H335" s="8" t="s">
        <v>606</v>
      </c>
      <c r="I335" s="8" t="s">
        <v>1160</v>
      </c>
      <c r="J335" s="7"/>
      <c r="K335" s="8" t="s">
        <v>564</v>
      </c>
      <c r="L335" s="8" t="s">
        <v>565</v>
      </c>
      <c r="M335" s="8" t="s">
        <v>660</v>
      </c>
      <c r="N335" s="8" t="s">
        <v>1161</v>
      </c>
      <c r="O335" s="13" t="s">
        <v>662</v>
      </c>
      <c r="P335" s="6"/>
      <c r="Q335" s="7"/>
      <c r="R335" s="8" t="s">
        <v>1158</v>
      </c>
      <c r="S335" s="15"/>
    </row>
    <row r="336" spans="1:19" x14ac:dyDescent="0.25">
      <c r="A336" s="10">
        <f t="shared" si="10"/>
        <v>2025</v>
      </c>
      <c r="B336" s="11" t="str">
        <f t="shared" si="11"/>
        <v>December</v>
      </c>
      <c r="C336" s="12">
        <v>45992</v>
      </c>
      <c r="D336" s="8">
        <v>4001</v>
      </c>
      <c r="E336" s="7" cm="1">
        <f t="array" ref="E336">_xlfn.XMATCH(F336&amp;G336&amp;H336, _xlfn.UNIQUE(F$2:F$369 &amp; G$2:G$369 &amp; H$2:H$369))</f>
        <v>209</v>
      </c>
      <c r="F336" s="8" t="s">
        <v>1162</v>
      </c>
      <c r="G336" s="8" t="s">
        <v>180</v>
      </c>
      <c r="H336" s="8" t="s">
        <v>21</v>
      </c>
      <c r="I336" s="8"/>
      <c r="J336" s="7"/>
      <c r="K336" s="8" t="s">
        <v>564</v>
      </c>
      <c r="L336" s="8" t="s">
        <v>565</v>
      </c>
      <c r="M336" s="8"/>
      <c r="N336" s="8" t="s">
        <v>1163</v>
      </c>
      <c r="O336" s="13">
        <v>75000</v>
      </c>
      <c r="P336" s="6">
        <v>75000</v>
      </c>
      <c r="Q336" s="7">
        <v>0</v>
      </c>
      <c r="R336" s="8" t="s">
        <v>1164</v>
      </c>
      <c r="S336" s="49" t="s">
        <v>839</v>
      </c>
    </row>
    <row r="337" spans="1:19" x14ac:dyDescent="0.25">
      <c r="A337" s="10">
        <f t="shared" si="10"/>
        <v>2025</v>
      </c>
      <c r="B337" s="11" t="str">
        <f t="shared" si="11"/>
        <v>December</v>
      </c>
      <c r="C337" s="12">
        <v>46001</v>
      </c>
      <c r="D337" s="8">
        <v>3290</v>
      </c>
      <c r="E337" s="7" cm="1">
        <f t="array" ref="E337">_xlfn.XMATCH(F337&amp;G337&amp;H337, _xlfn.UNIQUE(F$2:F$369 &amp; G$2:G$369 &amp; H$2:H$369))</f>
        <v>210</v>
      </c>
      <c r="F337" s="8" t="s">
        <v>1165</v>
      </c>
      <c r="G337" s="8" t="s">
        <v>921</v>
      </c>
      <c r="H337" s="8" t="s">
        <v>819</v>
      </c>
      <c r="I337" s="8"/>
      <c r="J337" s="7"/>
      <c r="K337" s="8" t="s">
        <v>22</v>
      </c>
      <c r="L337" s="8" t="s">
        <v>134</v>
      </c>
      <c r="M337" s="8"/>
      <c r="N337" s="24" t="s">
        <v>1166</v>
      </c>
      <c r="O337" s="13">
        <v>350000</v>
      </c>
      <c r="P337" s="6">
        <v>350000</v>
      </c>
      <c r="Q337" s="7" t="s">
        <v>839</v>
      </c>
      <c r="R337" s="8" t="s">
        <v>1074</v>
      </c>
      <c r="S337" s="49" t="s">
        <v>839</v>
      </c>
    </row>
    <row r="338" spans="1:19" x14ac:dyDescent="0.25">
      <c r="A338" s="10">
        <f t="shared" si="10"/>
        <v>2025</v>
      </c>
      <c r="B338" s="11" t="str">
        <f t="shared" si="11"/>
        <v>December</v>
      </c>
      <c r="C338" s="12">
        <v>46001</v>
      </c>
      <c r="D338" s="8">
        <v>3291</v>
      </c>
      <c r="E338" s="7" cm="1">
        <f t="array" ref="E338">_xlfn.XMATCH(F338&amp;G338&amp;H338, _xlfn.UNIQUE(F$2:F$369 &amp; G$2:G$369 &amp; H$2:H$369))</f>
        <v>210</v>
      </c>
      <c r="F338" s="8" t="s">
        <v>1165</v>
      </c>
      <c r="G338" s="8" t="s">
        <v>921</v>
      </c>
      <c r="H338" s="8" t="s">
        <v>819</v>
      </c>
      <c r="I338" s="8"/>
      <c r="J338" s="7"/>
      <c r="K338" s="8" t="s">
        <v>78</v>
      </c>
      <c r="L338" s="8" t="s">
        <v>801</v>
      </c>
      <c r="M338" s="8"/>
      <c r="N338" s="24" t="s">
        <v>1167</v>
      </c>
      <c r="O338" s="13">
        <v>350000</v>
      </c>
      <c r="P338" s="6">
        <v>350000</v>
      </c>
      <c r="Q338" s="7" t="s">
        <v>839</v>
      </c>
      <c r="R338" s="8" t="s">
        <v>1168</v>
      </c>
      <c r="S338" s="49" t="s">
        <v>839</v>
      </c>
    </row>
    <row r="339" spans="1:19" x14ac:dyDescent="0.25">
      <c r="A339" s="10">
        <f t="shared" si="10"/>
        <v>2025</v>
      </c>
      <c r="B339" s="11" t="str">
        <f t="shared" si="11"/>
        <v>December</v>
      </c>
      <c r="C339" s="12">
        <v>46004</v>
      </c>
      <c r="D339" s="8">
        <v>4154</v>
      </c>
      <c r="E339" s="7" cm="1">
        <f t="array" ref="E339">_xlfn.XMATCH(F339&amp;G339&amp;H339, _xlfn.UNIQUE(F$2:F$369 &amp; G$2:G$369 &amp; H$2:H$369))</f>
        <v>136</v>
      </c>
      <c r="F339" s="8" t="s">
        <v>779</v>
      </c>
      <c r="G339" s="8" t="s">
        <v>780</v>
      </c>
      <c r="H339" s="8" t="s">
        <v>481</v>
      </c>
      <c r="I339" s="8" t="s">
        <v>1169</v>
      </c>
      <c r="J339" s="7"/>
      <c r="K339" s="8" t="s">
        <v>809</v>
      </c>
      <c r="L339" s="8" t="s">
        <v>675</v>
      </c>
      <c r="M339" s="8"/>
      <c r="N339" s="8" t="s">
        <v>1170</v>
      </c>
      <c r="O339" s="13">
        <v>200000</v>
      </c>
      <c r="P339" s="6">
        <v>200000</v>
      </c>
      <c r="Q339" s="7">
        <v>0</v>
      </c>
      <c r="R339" s="8" t="s">
        <v>1052</v>
      </c>
      <c r="S339" s="50" t="s">
        <v>70</v>
      </c>
    </row>
    <row r="340" spans="1:19" x14ac:dyDescent="0.25">
      <c r="A340" s="10">
        <f t="shared" si="10"/>
        <v>2025</v>
      </c>
      <c r="B340" s="11" t="str">
        <f t="shared" si="11"/>
        <v>December</v>
      </c>
      <c r="C340" s="12">
        <v>46004</v>
      </c>
      <c r="D340" s="8">
        <v>3862</v>
      </c>
      <c r="E340" s="7" cm="1">
        <f t="array" ref="E340">_xlfn.XMATCH(F340&amp;G340&amp;H340, _xlfn.UNIQUE(F$2:F$369 &amp; G$2:G$369 &amp; H$2:H$369))</f>
        <v>211</v>
      </c>
      <c r="F340" s="8" t="s">
        <v>1171</v>
      </c>
      <c r="G340" s="8" t="s">
        <v>1172</v>
      </c>
      <c r="H340" s="8" t="s">
        <v>1173</v>
      </c>
      <c r="I340" s="8" t="s">
        <v>1174</v>
      </c>
      <c r="J340" s="7"/>
      <c r="K340" s="8" t="s">
        <v>22</v>
      </c>
      <c r="L340" s="8" t="s">
        <v>134</v>
      </c>
      <c r="M340" s="8"/>
      <c r="N340" s="8" t="s">
        <v>1175</v>
      </c>
      <c r="O340" s="13">
        <v>450000</v>
      </c>
      <c r="P340" s="6">
        <v>50000</v>
      </c>
      <c r="Q340" s="7">
        <v>24</v>
      </c>
      <c r="R340" s="8" t="s">
        <v>1176</v>
      </c>
      <c r="S340" s="15"/>
    </row>
    <row r="341" spans="1:19" x14ac:dyDescent="0.25">
      <c r="A341" s="51">
        <f t="shared" si="10"/>
        <v>2026</v>
      </c>
      <c r="B341" s="52" t="str">
        <f t="shared" si="11"/>
        <v>January</v>
      </c>
      <c r="C341" s="3">
        <v>46034</v>
      </c>
      <c r="D341" s="4">
        <v>3863</v>
      </c>
      <c r="E341" s="7" cm="1">
        <f t="array" ref="E341">_xlfn.XMATCH(F341&amp;G341&amp;H341, _xlfn.UNIQUE(F$2:F$369 &amp; G$2:G$369 &amp; H$2:H$369))</f>
        <v>212</v>
      </c>
      <c r="F341" s="4" t="s">
        <v>1177</v>
      </c>
      <c r="G341" s="4" t="s">
        <v>26</v>
      </c>
      <c r="H341" s="4" t="s">
        <v>27</v>
      </c>
      <c r="I341" s="4" t="s">
        <v>1178</v>
      </c>
      <c r="J341" s="1"/>
      <c r="K341" s="4" t="s">
        <v>78</v>
      </c>
      <c r="L341" s="4" t="s">
        <v>801</v>
      </c>
      <c r="M341" s="4"/>
      <c r="N341" s="53" t="s">
        <v>1179</v>
      </c>
      <c r="O341" s="54">
        <v>350000</v>
      </c>
      <c r="P341" s="55">
        <v>50000</v>
      </c>
      <c r="Q341" s="1">
        <v>18</v>
      </c>
      <c r="R341" s="4" t="s">
        <v>1180</v>
      </c>
      <c r="S341" s="49" t="s">
        <v>1181</v>
      </c>
    </row>
    <row r="342" spans="1:19" x14ac:dyDescent="0.25">
      <c r="A342" s="56">
        <f t="shared" si="10"/>
        <v>2026</v>
      </c>
      <c r="B342" s="52" t="str">
        <f t="shared" si="11"/>
        <v>January</v>
      </c>
      <c r="C342" s="3">
        <v>46035</v>
      </c>
      <c r="D342" s="1">
        <v>3396</v>
      </c>
      <c r="E342" s="7" cm="1">
        <f t="array" ref="E342">_xlfn.XMATCH(F342&amp;G342&amp;H342, _xlfn.UNIQUE(F$2:F$369 &amp; G$2:G$369 &amp; H$2:H$369))</f>
        <v>213</v>
      </c>
      <c r="F342" s="4" t="s">
        <v>1182</v>
      </c>
      <c r="G342" s="4" t="s">
        <v>1183</v>
      </c>
      <c r="H342" s="4" t="s">
        <v>1077</v>
      </c>
      <c r="I342" s="4" t="s">
        <v>1184</v>
      </c>
      <c r="J342" s="1"/>
      <c r="K342" s="4" t="s">
        <v>22</v>
      </c>
      <c r="L342" s="4" t="s">
        <v>134</v>
      </c>
      <c r="M342" s="4"/>
      <c r="N342" s="53" t="s">
        <v>1185</v>
      </c>
      <c r="O342" s="57">
        <v>400000</v>
      </c>
      <c r="P342" s="55">
        <v>50000</v>
      </c>
      <c r="Q342" s="1">
        <v>36</v>
      </c>
      <c r="R342" s="4" t="s">
        <v>1176</v>
      </c>
      <c r="S342" s="49"/>
    </row>
    <row r="343" spans="1:19" x14ac:dyDescent="0.25">
      <c r="A343" s="51">
        <f t="shared" si="10"/>
        <v>2026</v>
      </c>
      <c r="B343" s="52" t="str">
        <f t="shared" si="11"/>
        <v>February</v>
      </c>
      <c r="C343" s="3">
        <v>46060</v>
      </c>
      <c r="D343" s="4">
        <v>3865</v>
      </c>
      <c r="E343" s="7" cm="1">
        <f t="array" ref="E343">_xlfn.XMATCH(F343&amp;G343&amp;H343, _xlfn.UNIQUE(F$2:F$369 &amp; G$2:G$369 &amp; H$2:H$369))</f>
        <v>214</v>
      </c>
      <c r="F343" s="4" t="s">
        <v>1186</v>
      </c>
      <c r="G343" s="4" t="s">
        <v>1187</v>
      </c>
      <c r="H343" s="4" t="s">
        <v>481</v>
      </c>
      <c r="I343" s="4" t="s">
        <v>1188</v>
      </c>
      <c r="J343" s="1"/>
      <c r="K343" s="4" t="s">
        <v>22</v>
      </c>
      <c r="L343" s="4" t="s">
        <v>134</v>
      </c>
      <c r="M343" s="4"/>
      <c r="N343" s="53" t="s">
        <v>1189</v>
      </c>
      <c r="O343" s="54">
        <v>450000</v>
      </c>
      <c r="P343" s="55">
        <v>100000</v>
      </c>
      <c r="Q343" s="1">
        <v>12</v>
      </c>
      <c r="R343" s="4" t="s">
        <v>1176</v>
      </c>
      <c r="S343" s="49"/>
    </row>
    <row r="344" spans="1:19" ht="16.5" x14ac:dyDescent="0.25">
      <c r="A344" s="10">
        <f t="shared" si="10"/>
        <v>2026</v>
      </c>
      <c r="B344" s="11" t="str">
        <f t="shared" si="11"/>
        <v>February</v>
      </c>
      <c r="C344" s="12">
        <v>46069</v>
      </c>
      <c r="D344" s="8">
        <v>4202</v>
      </c>
      <c r="E344" s="7" cm="1">
        <f t="array" ref="E344">_xlfn.XMATCH(F344&amp;G344&amp;H344, _xlfn.UNIQUE(F$2:F$369 &amp; G$2:G$369 &amp; H$2:H$369))</f>
        <v>215</v>
      </c>
      <c r="F344" s="8" t="s">
        <v>1190</v>
      </c>
      <c r="G344" s="8" t="s">
        <v>525</v>
      </c>
      <c r="H344" s="8" t="s">
        <v>619</v>
      </c>
      <c r="I344" s="58" t="s">
        <v>1191</v>
      </c>
      <c r="J344" s="59">
        <v>9175096501</v>
      </c>
      <c r="K344" s="8" t="s">
        <v>68</v>
      </c>
      <c r="L344" s="8" t="s">
        <v>1192</v>
      </c>
      <c r="M344" s="4"/>
      <c r="N344" s="25">
        <v>23012511006</v>
      </c>
      <c r="O344" s="13">
        <v>1800000</v>
      </c>
      <c r="P344" s="6">
        <v>1800000</v>
      </c>
      <c r="Q344" s="7" t="s">
        <v>839</v>
      </c>
      <c r="R344" s="8" t="s">
        <v>1193</v>
      </c>
      <c r="S344" s="49" t="s">
        <v>839</v>
      </c>
    </row>
    <row r="345" spans="1:19" x14ac:dyDescent="0.25">
      <c r="A345" s="51">
        <f t="shared" si="10"/>
        <v>2026</v>
      </c>
      <c r="B345" s="52" t="str">
        <f t="shared" si="11"/>
        <v>February</v>
      </c>
      <c r="C345" s="3">
        <v>46078</v>
      </c>
      <c r="D345" s="4">
        <v>3334</v>
      </c>
      <c r="E345" s="7" cm="1">
        <f t="array" ref="E345">_xlfn.XMATCH(F345&amp;G345&amp;H345, _xlfn.UNIQUE(F$2:F$369 &amp; G$2:G$369 &amp; H$2:H$369))</f>
        <v>206</v>
      </c>
      <c r="F345" s="4" t="s">
        <v>1146</v>
      </c>
      <c r="G345" s="4" t="s">
        <v>1147</v>
      </c>
      <c r="H345" s="4" t="s">
        <v>1148</v>
      </c>
      <c r="I345" s="4" t="s">
        <v>1194</v>
      </c>
      <c r="J345" s="1"/>
      <c r="K345" s="4" t="s">
        <v>22</v>
      </c>
      <c r="L345" s="4" t="s">
        <v>134</v>
      </c>
      <c r="M345" s="4"/>
      <c r="N345" s="53" t="s">
        <v>1195</v>
      </c>
      <c r="O345" s="54">
        <v>425000</v>
      </c>
      <c r="P345" s="55">
        <v>100000</v>
      </c>
      <c r="Q345" s="1">
        <v>36</v>
      </c>
      <c r="R345" s="4" t="s">
        <v>1176</v>
      </c>
      <c r="S345" s="49"/>
    </row>
    <row r="346" spans="1:19" x14ac:dyDescent="0.25">
      <c r="A346" s="51">
        <f t="shared" si="10"/>
        <v>2026</v>
      </c>
      <c r="B346" s="52" t="str">
        <f t="shared" si="11"/>
        <v>March</v>
      </c>
      <c r="C346" s="3">
        <v>46085</v>
      </c>
      <c r="D346" s="4">
        <v>3647</v>
      </c>
      <c r="E346" s="7" cm="1">
        <f t="array" ref="E346">_xlfn.XMATCH(F346&amp;G346&amp;H346, _xlfn.UNIQUE(F$2:F$369 &amp; G$2:G$369 &amp; H$2:H$369))</f>
        <v>216</v>
      </c>
      <c r="F346" s="4" t="s">
        <v>1196</v>
      </c>
      <c r="G346" s="4" t="s">
        <v>1197</v>
      </c>
      <c r="H346" s="4" t="s">
        <v>461</v>
      </c>
      <c r="I346" s="4" t="s">
        <v>1198</v>
      </c>
      <c r="J346" s="1"/>
      <c r="K346" s="4" t="s">
        <v>22</v>
      </c>
      <c r="L346" s="4" t="s">
        <v>134</v>
      </c>
      <c r="M346" s="4"/>
      <c r="N346" s="4" t="s">
        <v>1199</v>
      </c>
      <c r="O346" s="54">
        <v>400000</v>
      </c>
      <c r="P346" s="55">
        <v>50000</v>
      </c>
      <c r="Q346" s="1">
        <v>36</v>
      </c>
      <c r="R346" s="4" t="s">
        <v>1176</v>
      </c>
      <c r="S346" s="49"/>
    </row>
    <row r="347" spans="1:19" ht="16.5" x14ac:dyDescent="0.25">
      <c r="A347" s="51">
        <f t="shared" si="10"/>
        <v>2026</v>
      </c>
      <c r="B347" s="52" t="str">
        <f t="shared" si="11"/>
        <v>March</v>
      </c>
      <c r="C347" s="3">
        <v>46086</v>
      </c>
      <c r="D347" s="4">
        <v>3868</v>
      </c>
      <c r="E347" s="7" cm="1">
        <f t="array" ref="E347">_xlfn.XMATCH(F347&amp;G347&amp;H347, _xlfn.UNIQUE(F$2:F$369 &amp; G$2:G$369 &amp; H$2:H$369))</f>
        <v>217</v>
      </c>
      <c r="F347" s="4" t="s">
        <v>1200</v>
      </c>
      <c r="G347" s="4" t="s">
        <v>1201</v>
      </c>
      <c r="H347" s="4" t="s">
        <v>196</v>
      </c>
      <c r="I347" s="60" t="s">
        <v>1202</v>
      </c>
      <c r="J347" s="1"/>
      <c r="K347" s="4" t="s">
        <v>22</v>
      </c>
      <c r="L347" s="4" t="s">
        <v>134</v>
      </c>
      <c r="M347" s="4"/>
      <c r="N347" s="4" t="s">
        <v>1001</v>
      </c>
      <c r="O347" s="54">
        <v>300000</v>
      </c>
      <c r="P347" s="55">
        <v>100000</v>
      </c>
      <c r="Q347" s="1">
        <v>12</v>
      </c>
      <c r="R347" s="4" t="s">
        <v>1176</v>
      </c>
      <c r="S347" s="49" t="s">
        <v>1203</v>
      </c>
    </row>
    <row r="348" spans="1:19" x14ac:dyDescent="0.25">
      <c r="A348" s="51">
        <f t="shared" si="10"/>
        <v>2026</v>
      </c>
      <c r="B348" s="52" t="str">
        <f t="shared" si="11"/>
        <v>March</v>
      </c>
      <c r="C348" s="3">
        <v>46087</v>
      </c>
      <c r="D348" s="4">
        <v>3869</v>
      </c>
      <c r="E348" s="7" cm="1">
        <f t="array" ref="E348">_xlfn.XMATCH(F348&amp;G348&amp;H348, _xlfn.UNIQUE(F$2:F$369 &amp; G$2:G$369 &amp; H$2:H$369))</f>
        <v>91</v>
      </c>
      <c r="F348" s="4" t="s">
        <v>509</v>
      </c>
      <c r="G348" s="4" t="s">
        <v>214</v>
      </c>
      <c r="H348" s="4" t="s">
        <v>116</v>
      </c>
      <c r="I348" s="4" t="s">
        <v>510</v>
      </c>
      <c r="J348" s="1"/>
      <c r="K348" s="4" t="s">
        <v>22</v>
      </c>
      <c r="L348" s="4" t="s">
        <v>134</v>
      </c>
      <c r="M348" s="4"/>
      <c r="N348" s="4" t="s">
        <v>1204</v>
      </c>
      <c r="O348" s="54">
        <v>400000</v>
      </c>
      <c r="P348" s="55">
        <v>100000</v>
      </c>
      <c r="Q348" s="1">
        <v>24</v>
      </c>
      <c r="R348" s="4" t="s">
        <v>1176</v>
      </c>
      <c r="S348" s="49"/>
    </row>
    <row r="349" spans="1:19" x14ac:dyDescent="0.25">
      <c r="A349" s="51">
        <f t="shared" si="10"/>
        <v>2026</v>
      </c>
      <c r="B349" s="52" t="str">
        <f t="shared" si="11"/>
        <v>March</v>
      </c>
      <c r="C349" s="3">
        <v>46094</v>
      </c>
      <c r="D349" s="4">
        <v>3650</v>
      </c>
      <c r="E349" s="7" cm="1">
        <f t="array" ref="E349">_xlfn.XMATCH(F349&amp;G349&amp;H349, _xlfn.UNIQUE(F$2:F$369 &amp; G$2:G$369 &amp; H$2:H$369))</f>
        <v>216</v>
      </c>
      <c r="F349" s="4" t="s">
        <v>1196</v>
      </c>
      <c r="G349" s="4" t="s">
        <v>1197</v>
      </c>
      <c r="H349" s="4" t="s">
        <v>461</v>
      </c>
      <c r="I349" s="4" t="s">
        <v>1198</v>
      </c>
      <c r="J349" s="1"/>
      <c r="K349" s="4" t="s">
        <v>78</v>
      </c>
      <c r="L349" s="4" t="s">
        <v>801</v>
      </c>
      <c r="M349" s="4"/>
      <c r="N349" s="53" t="s">
        <v>1205</v>
      </c>
      <c r="O349" s="54">
        <v>400000</v>
      </c>
      <c r="P349" s="55">
        <v>50000</v>
      </c>
      <c r="Q349" s="1">
        <v>36</v>
      </c>
      <c r="R349" s="4" t="s">
        <v>1180</v>
      </c>
      <c r="S349" s="49"/>
    </row>
    <row r="350" spans="1:19" x14ac:dyDescent="0.25">
      <c r="A350" s="51">
        <f t="shared" si="10"/>
        <v>2026</v>
      </c>
      <c r="B350" s="52" t="str">
        <f t="shared" si="11"/>
        <v>March</v>
      </c>
      <c r="C350" s="3">
        <v>46094</v>
      </c>
      <c r="D350" s="4">
        <v>4359</v>
      </c>
      <c r="E350" s="7" cm="1">
        <f t="array" ref="E350">_xlfn.XMATCH(F350&amp;G350&amp;H350, _xlfn.UNIQUE(F$2:F$369 &amp; G$2:G$369 &amp; H$2:H$369))</f>
        <v>218</v>
      </c>
      <c r="F350" s="4" t="s">
        <v>1206</v>
      </c>
      <c r="G350" s="4" t="s">
        <v>642</v>
      </c>
      <c r="H350" s="4" t="s">
        <v>606</v>
      </c>
      <c r="I350" s="4" t="s">
        <v>1207</v>
      </c>
      <c r="J350" s="1"/>
      <c r="K350" s="4" t="s">
        <v>809</v>
      </c>
      <c r="L350" s="4" t="s">
        <v>675</v>
      </c>
      <c r="M350" s="4"/>
      <c r="N350" s="4" t="s">
        <v>1208</v>
      </c>
      <c r="O350" s="54">
        <v>280000</v>
      </c>
      <c r="P350" s="55">
        <v>280000</v>
      </c>
      <c r="Q350" s="1">
        <v>0</v>
      </c>
      <c r="R350" s="4" t="s">
        <v>1209</v>
      </c>
      <c r="S350" s="49"/>
    </row>
    <row r="351" spans="1:19" x14ac:dyDescent="0.25">
      <c r="A351" s="51">
        <f t="shared" si="10"/>
        <v>2026</v>
      </c>
      <c r="B351" s="52" t="str">
        <f t="shared" si="11"/>
        <v>March</v>
      </c>
      <c r="C351" s="3">
        <v>46097</v>
      </c>
      <c r="D351" s="4">
        <v>3815</v>
      </c>
      <c r="E351" s="7" cm="1">
        <f t="array" ref="E351">_xlfn.XMATCH(F351&amp;G351&amp;H351, _xlfn.UNIQUE(F$2:F$369 &amp; G$2:G$369 &amp; H$2:H$369))</f>
        <v>219</v>
      </c>
      <c r="F351" s="4" t="s">
        <v>1210</v>
      </c>
      <c r="G351" s="4" t="s">
        <v>1211</v>
      </c>
      <c r="H351" s="4" t="s">
        <v>1113</v>
      </c>
      <c r="I351" s="4" t="s">
        <v>1212</v>
      </c>
      <c r="J351" s="1"/>
      <c r="K351" s="4" t="s">
        <v>809</v>
      </c>
      <c r="L351" s="4" t="s">
        <v>343</v>
      </c>
      <c r="M351" s="4"/>
      <c r="N351" s="53" t="s">
        <v>1213</v>
      </c>
      <c r="O351" s="54">
        <v>600000</v>
      </c>
      <c r="P351" s="55">
        <v>100000</v>
      </c>
      <c r="Q351" s="1">
        <v>36</v>
      </c>
      <c r="R351" s="4" t="s">
        <v>1214</v>
      </c>
      <c r="S351" s="49"/>
    </row>
    <row r="352" spans="1:19" x14ac:dyDescent="0.25">
      <c r="A352" s="10">
        <f t="shared" si="10"/>
        <v>2026</v>
      </c>
      <c r="B352" s="11" t="str">
        <f t="shared" si="11"/>
        <v>March</v>
      </c>
      <c r="C352" s="12">
        <v>46106</v>
      </c>
      <c r="D352" s="8">
        <v>4211</v>
      </c>
      <c r="E352" s="7" cm="1">
        <f t="array" ref="E352">_xlfn.XMATCH(F352&amp;G352&amp;H352, _xlfn.UNIQUE(F$2:F$369 &amp; G$2:G$369 &amp; H$2:H$369))</f>
        <v>210</v>
      </c>
      <c r="F352" s="8" t="s">
        <v>1165</v>
      </c>
      <c r="G352" s="8" t="s">
        <v>921</v>
      </c>
      <c r="H352" s="8" t="s">
        <v>819</v>
      </c>
      <c r="I352" s="8"/>
      <c r="J352" s="7"/>
      <c r="K352" s="8" t="s">
        <v>809</v>
      </c>
      <c r="L352" s="8" t="s">
        <v>675</v>
      </c>
      <c r="M352" s="4"/>
      <c r="N352" s="24" t="s">
        <v>1215</v>
      </c>
      <c r="O352" s="13">
        <v>500000</v>
      </c>
      <c r="P352" s="6">
        <v>100000</v>
      </c>
      <c r="Q352" s="7">
        <v>13</v>
      </c>
      <c r="R352" s="8" t="s">
        <v>1216</v>
      </c>
      <c r="S352" s="9"/>
    </row>
    <row r="353" spans="1:19" x14ac:dyDescent="0.25">
      <c r="A353" s="51">
        <f t="shared" si="10"/>
        <v>2026</v>
      </c>
      <c r="B353" s="52" t="str">
        <f t="shared" si="11"/>
        <v>March</v>
      </c>
      <c r="C353" s="3">
        <v>46109</v>
      </c>
      <c r="D353" s="4">
        <v>4087</v>
      </c>
      <c r="E353" s="7" cm="1">
        <f t="array" ref="E353">_xlfn.XMATCH(F353&amp;G353&amp;H353, _xlfn.UNIQUE(F$2:F$369 &amp; G$2:G$369 &amp; H$2:H$369))</f>
        <v>220</v>
      </c>
      <c r="F353" s="4" t="s">
        <v>1217</v>
      </c>
      <c r="G353" s="4" t="s">
        <v>1218</v>
      </c>
      <c r="H353" s="4" t="s">
        <v>116</v>
      </c>
      <c r="I353" s="4"/>
      <c r="J353" s="1"/>
      <c r="K353" s="4" t="s">
        <v>22</v>
      </c>
      <c r="L353" s="4" t="s">
        <v>134</v>
      </c>
      <c r="M353" s="4"/>
      <c r="N353" s="53" t="s">
        <v>821</v>
      </c>
      <c r="O353" s="54">
        <v>350000</v>
      </c>
      <c r="P353" s="55">
        <v>140000</v>
      </c>
      <c r="Q353" s="1">
        <v>15</v>
      </c>
      <c r="R353" s="4" t="s">
        <v>1176</v>
      </c>
      <c r="S353" s="49"/>
    </row>
    <row r="354" spans="1:19" x14ac:dyDescent="0.25">
      <c r="A354" s="61">
        <f t="shared" si="10"/>
        <v>2026</v>
      </c>
      <c r="B354" s="62" t="str">
        <f t="shared" si="11"/>
        <v>April</v>
      </c>
      <c r="C354" s="12">
        <v>46120</v>
      </c>
      <c r="D354" s="63">
        <v>3872</v>
      </c>
      <c r="E354" s="7" cm="1">
        <f t="array" ref="E354">_xlfn.XMATCH(F354&amp;G354&amp;H354, _xlfn.UNIQUE(F$2:F$369 &amp; G$2:G$369 &amp; H$2:H$369))</f>
        <v>221</v>
      </c>
      <c r="F354" s="8" t="s">
        <v>1219</v>
      </c>
      <c r="G354" s="8" t="s">
        <v>1220</v>
      </c>
      <c r="H354" s="8" t="s">
        <v>1221</v>
      </c>
      <c r="I354" s="8" t="s">
        <v>1222</v>
      </c>
      <c r="J354" s="7"/>
      <c r="K354" s="8" t="s">
        <v>564</v>
      </c>
      <c r="L354" s="8" t="s">
        <v>565</v>
      </c>
      <c r="M354" s="8"/>
      <c r="N354" s="8" t="s">
        <v>1223</v>
      </c>
      <c r="O354" s="19">
        <v>75000</v>
      </c>
      <c r="P354" s="6">
        <v>75000</v>
      </c>
      <c r="Q354" s="7">
        <v>0</v>
      </c>
      <c r="R354" s="8" t="s">
        <v>1224</v>
      </c>
      <c r="S354" s="9" t="s">
        <v>839</v>
      </c>
    </row>
    <row r="355" spans="1:19" x14ac:dyDescent="0.25">
      <c r="A355" s="10">
        <f t="shared" si="10"/>
        <v>2026</v>
      </c>
      <c r="B355" s="11" t="str">
        <f t="shared" si="11"/>
        <v>April</v>
      </c>
      <c r="C355" s="12">
        <v>46126</v>
      </c>
      <c r="D355" s="8">
        <v>4402</v>
      </c>
      <c r="E355" s="7" cm="1">
        <f t="array" ref="E355">_xlfn.XMATCH(F355&amp;G355&amp;H355, _xlfn.UNIQUE(F$2:F$369 &amp; G$2:G$369 &amp; H$2:H$369))</f>
        <v>222</v>
      </c>
      <c r="F355" s="8" t="s">
        <v>1225</v>
      </c>
      <c r="G355" s="8" t="s">
        <v>913</v>
      </c>
      <c r="H355" s="8" t="s">
        <v>819</v>
      </c>
      <c r="I355" s="8" t="s">
        <v>1226</v>
      </c>
      <c r="J355" s="7"/>
      <c r="K355" s="8" t="s">
        <v>22</v>
      </c>
      <c r="L355" s="8" t="s">
        <v>134</v>
      </c>
      <c r="M355" s="8"/>
      <c r="N355" s="64" t="s">
        <v>1227</v>
      </c>
      <c r="O355" s="13">
        <v>435000</v>
      </c>
      <c r="P355" s="6">
        <v>100000</v>
      </c>
      <c r="Q355" s="7">
        <v>24</v>
      </c>
      <c r="R355" s="4" t="s">
        <v>1176</v>
      </c>
      <c r="S355" s="15"/>
    </row>
    <row r="356" spans="1:19" x14ac:dyDescent="0.25">
      <c r="A356" s="10">
        <f t="shared" si="10"/>
        <v>2026</v>
      </c>
      <c r="B356" s="11" t="str">
        <f t="shared" si="11"/>
        <v>April</v>
      </c>
      <c r="C356" s="12">
        <v>46126</v>
      </c>
      <c r="D356" s="8">
        <v>4403</v>
      </c>
      <c r="E356" s="7" cm="1">
        <f t="array" ref="E356">_xlfn.XMATCH(F356&amp;G356&amp;H356, _xlfn.UNIQUE(F$2:F$369 &amp; G$2:G$369 &amp; H$2:H$369))</f>
        <v>222</v>
      </c>
      <c r="F356" s="8" t="s">
        <v>1225</v>
      </c>
      <c r="G356" s="8" t="s">
        <v>913</v>
      </c>
      <c r="H356" s="8" t="s">
        <v>819</v>
      </c>
      <c r="I356" s="8" t="s">
        <v>1226</v>
      </c>
      <c r="J356" s="7"/>
      <c r="K356" s="8" t="s">
        <v>78</v>
      </c>
      <c r="L356" s="8" t="s">
        <v>801</v>
      </c>
      <c r="M356" s="8"/>
      <c r="N356" s="16" t="s">
        <v>1228</v>
      </c>
      <c r="O356" s="13">
        <v>435000</v>
      </c>
      <c r="P356" s="6">
        <v>100000</v>
      </c>
      <c r="Q356" s="7">
        <v>24</v>
      </c>
      <c r="R356" s="4" t="s">
        <v>1180</v>
      </c>
      <c r="S356" s="15"/>
    </row>
    <row r="357" spans="1:19" x14ac:dyDescent="0.25">
      <c r="A357" s="10">
        <f t="shared" si="10"/>
        <v>2026</v>
      </c>
      <c r="B357" s="11" t="str">
        <f t="shared" si="11"/>
        <v>April</v>
      </c>
      <c r="C357" s="12">
        <v>46137</v>
      </c>
      <c r="D357" s="8">
        <v>4215</v>
      </c>
      <c r="E357" s="7" cm="1">
        <f t="array" ref="E357">_xlfn.XMATCH(F357&amp;G357&amp;H357, _xlfn.UNIQUE(F$2:F$369 &amp; G$2:G$369 &amp; H$2:H$369))</f>
        <v>223</v>
      </c>
      <c r="F357" s="8" t="s">
        <v>1229</v>
      </c>
      <c r="G357" s="8" t="s">
        <v>1230</v>
      </c>
      <c r="H357" s="8" t="s">
        <v>619</v>
      </c>
      <c r="I357" s="8" t="s">
        <v>1231</v>
      </c>
      <c r="J357" s="7"/>
      <c r="K357" s="8" t="s">
        <v>22</v>
      </c>
      <c r="L357" s="8" t="s">
        <v>134</v>
      </c>
      <c r="M357" s="8"/>
      <c r="N357" s="24" t="s">
        <v>1131</v>
      </c>
      <c r="O357" s="13">
        <v>350000</v>
      </c>
      <c r="P357" s="6">
        <v>140000</v>
      </c>
      <c r="Q357" s="7">
        <v>12</v>
      </c>
      <c r="R357" s="4" t="s">
        <v>1176</v>
      </c>
      <c r="S357" s="9" t="s">
        <v>1232</v>
      </c>
    </row>
    <row r="358" spans="1:19" x14ac:dyDescent="0.25">
      <c r="A358" s="10">
        <f t="shared" si="10"/>
        <v>2026</v>
      </c>
      <c r="B358" s="11" t="str">
        <f t="shared" si="11"/>
        <v>May</v>
      </c>
      <c r="C358" s="12">
        <v>46151</v>
      </c>
      <c r="D358" s="8">
        <v>4406</v>
      </c>
      <c r="E358" s="7" cm="1">
        <f t="array" ref="E358">_xlfn.XMATCH(F358&amp;G358&amp;H358, _xlfn.UNIQUE(F$2:F$369 &amp; G$2:G$369 &amp; H$2:H$369))</f>
        <v>224</v>
      </c>
      <c r="F358" s="8" t="s">
        <v>1233</v>
      </c>
      <c r="G358" s="8" t="s">
        <v>445</v>
      </c>
      <c r="H358" s="8" t="s">
        <v>46</v>
      </c>
      <c r="I358" s="8" t="s">
        <v>1234</v>
      </c>
      <c r="J358" s="7"/>
      <c r="K358" s="8" t="s">
        <v>22</v>
      </c>
      <c r="L358" s="8" t="s">
        <v>134</v>
      </c>
      <c r="M358" s="8"/>
      <c r="N358" s="8" t="s">
        <v>1235</v>
      </c>
      <c r="O358" s="13">
        <v>350000</v>
      </c>
      <c r="P358" s="6">
        <v>350000</v>
      </c>
      <c r="Q358" s="7">
        <v>0</v>
      </c>
      <c r="R358" s="4" t="s">
        <v>1176</v>
      </c>
      <c r="S358" s="9" t="s">
        <v>1236</v>
      </c>
    </row>
    <row r="359" spans="1:19" x14ac:dyDescent="0.25">
      <c r="A359" s="10">
        <f t="shared" si="10"/>
        <v>2026</v>
      </c>
      <c r="B359" s="11" t="str">
        <f t="shared" si="11"/>
        <v>May</v>
      </c>
      <c r="C359" s="12">
        <v>46158</v>
      </c>
      <c r="D359" s="8">
        <v>4216</v>
      </c>
      <c r="E359" s="7" cm="1">
        <f t="array" ref="E359">_xlfn.XMATCH(F359&amp;G359&amp;H359, _xlfn.UNIQUE(F$2:F$369 &amp; G$2:G$369 &amp; H$2:H$369))</f>
        <v>215</v>
      </c>
      <c r="F359" s="8" t="s">
        <v>1190</v>
      </c>
      <c r="G359" s="8" t="s">
        <v>525</v>
      </c>
      <c r="H359" s="8" t="s">
        <v>619</v>
      </c>
      <c r="I359" s="8" t="s">
        <v>1191</v>
      </c>
      <c r="J359" s="7">
        <v>9175096501</v>
      </c>
      <c r="K359" s="8" t="s">
        <v>564</v>
      </c>
      <c r="L359" s="8" t="s">
        <v>565</v>
      </c>
      <c r="M359" s="8"/>
      <c r="N359" s="65" t="s">
        <v>1237</v>
      </c>
      <c r="O359" s="13" t="s">
        <v>662</v>
      </c>
      <c r="P359" s="6" t="s">
        <v>662</v>
      </c>
      <c r="Q359" s="7">
        <v>0</v>
      </c>
      <c r="R359" s="8" t="s">
        <v>1238</v>
      </c>
      <c r="S359" s="15"/>
    </row>
    <row r="360" spans="1:19" x14ac:dyDescent="0.25">
      <c r="A360" s="10">
        <f t="shared" si="10"/>
        <v>2026</v>
      </c>
      <c r="B360" s="11" t="str">
        <f t="shared" si="11"/>
        <v>May</v>
      </c>
      <c r="C360" s="12">
        <v>46158</v>
      </c>
      <c r="D360" s="8">
        <v>3342</v>
      </c>
      <c r="E360" s="7" cm="1">
        <f t="array" ref="E360">_xlfn.XMATCH(F360&amp;G360&amp;H360, _xlfn.UNIQUE(F$2:F$369 &amp; G$2:G$369 &amp; H$2:H$369))</f>
        <v>225</v>
      </c>
      <c r="F360" s="8" t="s">
        <v>1239</v>
      </c>
      <c r="G360" s="8" t="s">
        <v>1240</v>
      </c>
      <c r="H360" s="8" t="s">
        <v>196</v>
      </c>
      <c r="I360" s="8" t="s">
        <v>1241</v>
      </c>
      <c r="J360" s="7"/>
      <c r="K360" s="8" t="s">
        <v>22</v>
      </c>
      <c r="L360" s="8" t="s">
        <v>134</v>
      </c>
      <c r="M360" s="8"/>
      <c r="N360" s="16" t="s">
        <v>938</v>
      </c>
      <c r="O360" s="13">
        <v>300000</v>
      </c>
      <c r="P360" s="6">
        <v>300000</v>
      </c>
      <c r="Q360" s="7">
        <v>0</v>
      </c>
      <c r="R360" s="66" t="s">
        <v>1242</v>
      </c>
      <c r="S360" s="9" t="s">
        <v>1243</v>
      </c>
    </row>
    <row r="361" spans="1:19" x14ac:dyDescent="0.25">
      <c r="A361" s="10">
        <f t="shared" si="10"/>
        <v>2026</v>
      </c>
      <c r="B361" s="11" t="str">
        <f t="shared" si="11"/>
        <v>May</v>
      </c>
      <c r="C361" s="12">
        <v>46168</v>
      </c>
      <c r="D361" s="8">
        <v>3820</v>
      </c>
      <c r="E361" s="7" cm="1">
        <f t="array" ref="E361">_xlfn.XMATCH(F361&amp;G361&amp;H361, _xlfn.UNIQUE(F$2:F$369 &amp; G$2:G$369 &amp; H$2:H$369))</f>
        <v>136</v>
      </c>
      <c r="F361" s="8" t="s">
        <v>779</v>
      </c>
      <c r="G361" s="8" t="s">
        <v>780</v>
      </c>
      <c r="H361" s="8" t="s">
        <v>481</v>
      </c>
      <c r="I361" s="8" t="s">
        <v>1169</v>
      </c>
      <c r="J361" s="7"/>
      <c r="K361" s="8" t="s">
        <v>68</v>
      </c>
      <c r="L361" s="8" t="s">
        <v>1244</v>
      </c>
      <c r="M361" s="8"/>
      <c r="N361" s="8" t="s">
        <v>1245</v>
      </c>
      <c r="O361" s="13">
        <v>1700000</v>
      </c>
      <c r="P361" s="6">
        <v>300000</v>
      </c>
      <c r="Q361" s="7">
        <v>60</v>
      </c>
      <c r="R361" s="8" t="s">
        <v>1246</v>
      </c>
      <c r="S361" s="15"/>
    </row>
    <row r="362" spans="1:19" x14ac:dyDescent="0.25">
      <c r="A362" s="10">
        <f t="shared" si="10"/>
        <v>2026</v>
      </c>
      <c r="B362" s="11" t="str">
        <f t="shared" si="11"/>
        <v>June</v>
      </c>
      <c r="C362" s="12">
        <v>46184</v>
      </c>
      <c r="D362" s="8">
        <v>4561</v>
      </c>
      <c r="E362" s="7" cm="1">
        <f t="array" ref="E362">_xlfn.XMATCH(F362&amp;G362&amp;H362, _xlfn.UNIQUE(F$2:F$369 &amp; G$2:G$369 &amp; H$2:H$369))</f>
        <v>226</v>
      </c>
      <c r="F362" s="8" t="s">
        <v>1247</v>
      </c>
      <c r="G362" s="8" t="s">
        <v>642</v>
      </c>
      <c r="H362" s="8" t="s">
        <v>606</v>
      </c>
      <c r="I362" s="8" t="s">
        <v>1248</v>
      </c>
      <c r="J362" s="7"/>
      <c r="K362" s="8" t="s">
        <v>68</v>
      </c>
      <c r="L362" s="8" t="s">
        <v>1249</v>
      </c>
      <c r="M362" s="8"/>
      <c r="N362" s="8" t="s">
        <v>1250</v>
      </c>
      <c r="O362" s="13">
        <v>2000000</v>
      </c>
      <c r="P362" s="6">
        <v>500000</v>
      </c>
      <c r="Q362" s="7">
        <v>60</v>
      </c>
      <c r="R362" s="8" t="s">
        <v>1251</v>
      </c>
      <c r="S362" s="15"/>
    </row>
    <row r="363" spans="1:19" x14ac:dyDescent="0.25">
      <c r="A363" s="10">
        <f t="shared" si="10"/>
        <v>2026</v>
      </c>
      <c r="B363" s="11" t="str">
        <f t="shared" si="11"/>
        <v>June</v>
      </c>
      <c r="C363" s="12">
        <v>46198</v>
      </c>
      <c r="D363" s="8">
        <v>3878</v>
      </c>
      <c r="E363" s="7" cm="1">
        <f t="array" ref="E363">_xlfn.XMATCH(F363&amp;G363&amp;H363, _xlfn.UNIQUE(F$2:F$369 &amp; G$2:G$369 &amp; H$2:H$369))</f>
        <v>227</v>
      </c>
      <c r="F363" s="8" t="s">
        <v>1252</v>
      </c>
      <c r="G363" s="8" t="s">
        <v>1253</v>
      </c>
      <c r="H363" s="8" t="s">
        <v>1254</v>
      </c>
      <c r="I363" s="8" t="s">
        <v>1255</v>
      </c>
      <c r="J363" s="7"/>
      <c r="K363" s="8" t="s">
        <v>564</v>
      </c>
      <c r="L363" s="8" t="s">
        <v>565</v>
      </c>
      <c r="M363" s="8"/>
      <c r="N363" s="8" t="s">
        <v>1256</v>
      </c>
      <c r="O363" s="13">
        <v>75000</v>
      </c>
      <c r="P363" s="6">
        <v>75000</v>
      </c>
      <c r="Q363" s="7"/>
      <c r="R363" s="8" t="s">
        <v>1257</v>
      </c>
      <c r="S363" s="9" t="s">
        <v>839</v>
      </c>
    </row>
    <row r="364" spans="1:19" x14ac:dyDescent="0.25">
      <c r="A364" s="10">
        <f t="shared" si="10"/>
        <v>2026</v>
      </c>
      <c r="B364" s="11" t="str">
        <f t="shared" si="11"/>
        <v>July</v>
      </c>
      <c r="C364" s="12">
        <v>46204</v>
      </c>
      <c r="D364" s="8">
        <v>4752</v>
      </c>
      <c r="E364" s="7" cm="1">
        <f t="array" ref="E364">_xlfn.XMATCH(F364&amp;G364&amp;H364, _xlfn.UNIQUE(F$2:F$369 &amp; G$2:G$369 &amp; H$2:H$369))</f>
        <v>228</v>
      </c>
      <c r="F364" s="8" t="s">
        <v>560</v>
      </c>
      <c r="G364" s="8" t="s">
        <v>1258</v>
      </c>
      <c r="H364" s="8" t="s">
        <v>21</v>
      </c>
      <c r="I364" s="8"/>
      <c r="J364" s="7"/>
      <c r="K364" s="8" t="s">
        <v>22</v>
      </c>
      <c r="L364" s="8" t="s">
        <v>134</v>
      </c>
      <c r="M364" s="8"/>
      <c r="N364" s="16" t="s">
        <v>707</v>
      </c>
      <c r="O364" s="13">
        <v>350000</v>
      </c>
      <c r="P364" s="6">
        <v>7000</v>
      </c>
      <c r="Q364" s="7">
        <v>18</v>
      </c>
      <c r="R364" s="8" t="s">
        <v>1259</v>
      </c>
      <c r="S364" s="15"/>
    </row>
    <row r="365" spans="1:19" x14ac:dyDescent="0.25">
      <c r="A365" s="10">
        <f t="shared" si="10"/>
        <v>2026</v>
      </c>
      <c r="B365" s="11" t="str">
        <f t="shared" si="11"/>
        <v>July</v>
      </c>
      <c r="C365" s="12">
        <v>46217</v>
      </c>
      <c r="D365" s="8">
        <v>3881</v>
      </c>
      <c r="E365" s="7" cm="1">
        <f t="array" ref="E365">_xlfn.XMATCH(F365&amp;G365&amp;H365, _xlfn.UNIQUE(F$2:F$369 &amp; G$2:G$369 &amp; H$2:H$369))</f>
        <v>229</v>
      </c>
      <c r="F365" s="8" t="s">
        <v>1260</v>
      </c>
      <c r="G365" s="8" t="s">
        <v>1220</v>
      </c>
      <c r="H365" s="8" t="s">
        <v>1221</v>
      </c>
      <c r="I365" s="8" t="s">
        <v>1261</v>
      </c>
      <c r="J365" s="7"/>
      <c r="K365" s="8" t="s">
        <v>68</v>
      </c>
      <c r="L365" s="8" t="s">
        <v>1244</v>
      </c>
      <c r="M365" s="8"/>
      <c r="N365" s="8" t="s">
        <v>1262</v>
      </c>
      <c r="O365" s="13">
        <v>1500000</v>
      </c>
      <c r="P365" s="6">
        <v>350000</v>
      </c>
      <c r="Q365" s="7">
        <v>60</v>
      </c>
      <c r="R365" s="8" t="s">
        <v>1263</v>
      </c>
      <c r="S365" s="15"/>
    </row>
    <row r="366" spans="1:19" x14ac:dyDescent="0.25">
      <c r="A366" s="10">
        <f t="shared" si="10"/>
        <v>2026</v>
      </c>
      <c r="B366" s="11" t="str">
        <f t="shared" si="11"/>
        <v>July</v>
      </c>
      <c r="C366" s="12">
        <v>46217</v>
      </c>
      <c r="D366" s="8">
        <v>3881</v>
      </c>
      <c r="E366" s="7" cm="1">
        <f t="array" ref="E366">_xlfn.XMATCH(F366&amp;G366&amp;H366, _xlfn.UNIQUE(F$2:F$369 &amp; G$2:G$369 &amp; H$2:H$369))</f>
        <v>229</v>
      </c>
      <c r="F366" s="8" t="s">
        <v>1260</v>
      </c>
      <c r="G366" s="8" t="s">
        <v>1220</v>
      </c>
      <c r="H366" s="8" t="s">
        <v>1221</v>
      </c>
      <c r="I366" s="8" t="s">
        <v>1261</v>
      </c>
      <c r="J366" s="7"/>
      <c r="K366" s="8" t="s">
        <v>809</v>
      </c>
      <c r="L366" s="8" t="s">
        <v>675</v>
      </c>
      <c r="M366" s="8"/>
      <c r="N366" s="8" t="s">
        <v>1264</v>
      </c>
      <c r="O366" s="13">
        <v>250000</v>
      </c>
      <c r="P366" s="6">
        <v>50000</v>
      </c>
      <c r="Q366" s="7">
        <v>60</v>
      </c>
      <c r="R366" s="8" t="s">
        <v>1265</v>
      </c>
      <c r="S366" s="15"/>
    </row>
    <row r="367" spans="1:19" x14ac:dyDescent="0.25">
      <c r="A367" s="10">
        <f t="shared" si="10"/>
        <v>2026</v>
      </c>
      <c r="B367" s="11" t="str">
        <f t="shared" si="11"/>
        <v>July</v>
      </c>
      <c r="C367" s="12">
        <v>46232</v>
      </c>
      <c r="D367" s="8">
        <v>3882</v>
      </c>
      <c r="E367" s="7" cm="1">
        <f t="array" ref="E367">_xlfn.XMATCH(F367&amp;G367&amp;H367, _xlfn.UNIQUE(F$2:F$369 &amp; G$2:G$369 &amp; H$2:H$369))</f>
        <v>230</v>
      </c>
      <c r="F367" s="8" t="s">
        <v>1266</v>
      </c>
      <c r="G367" s="8" t="s">
        <v>1267</v>
      </c>
      <c r="H367" s="8" t="s">
        <v>1154</v>
      </c>
      <c r="I367" s="8" t="s">
        <v>1268</v>
      </c>
      <c r="J367" s="7"/>
      <c r="K367" s="8" t="s">
        <v>68</v>
      </c>
      <c r="L367" s="8" t="s">
        <v>1244</v>
      </c>
      <c r="M367" s="8"/>
      <c r="N367" s="16" t="s">
        <v>1269</v>
      </c>
      <c r="O367" s="13">
        <v>1500000</v>
      </c>
      <c r="P367" s="6">
        <v>350000</v>
      </c>
      <c r="Q367" s="7">
        <v>60</v>
      </c>
      <c r="R367" s="8" t="s">
        <v>1263</v>
      </c>
      <c r="S367" s="15"/>
    </row>
    <row r="368" spans="1:19" x14ac:dyDescent="0.25">
      <c r="A368" s="10">
        <f t="shared" ref="A368:A369" si="12">YEAR($C368)</f>
        <v>2026</v>
      </c>
      <c r="B368" s="11" t="str">
        <f t="shared" ref="B368:B369" si="13">TEXT(C368,"mmmm")</f>
        <v>July</v>
      </c>
      <c r="C368" s="12">
        <v>46232</v>
      </c>
      <c r="D368" s="8">
        <v>3882</v>
      </c>
      <c r="E368" s="7" cm="1">
        <f t="array" ref="E368">_xlfn.XMATCH(F368&amp;G368&amp;H368, _xlfn.UNIQUE(F$2:F$369 &amp; G$2:G$369 &amp; H$2:H$369))</f>
        <v>230</v>
      </c>
      <c r="F368" s="8" t="s">
        <v>1266</v>
      </c>
      <c r="G368" s="8" t="s">
        <v>1267</v>
      </c>
      <c r="H368" s="8" t="s">
        <v>1154</v>
      </c>
      <c r="I368" s="8" t="s">
        <v>1268</v>
      </c>
      <c r="J368" s="7"/>
      <c r="K368" s="8" t="s">
        <v>809</v>
      </c>
      <c r="L368" s="8" t="s">
        <v>675</v>
      </c>
      <c r="M368" s="8"/>
      <c r="N368" s="16" t="s">
        <v>1270</v>
      </c>
      <c r="O368" s="13">
        <v>250000</v>
      </c>
      <c r="P368" s="6">
        <v>50000</v>
      </c>
      <c r="Q368" s="7">
        <v>60</v>
      </c>
      <c r="R368" s="8" t="s">
        <v>1265</v>
      </c>
      <c r="S368" s="15"/>
    </row>
    <row r="369" spans="1:19" x14ac:dyDescent="0.25">
      <c r="A369" s="10">
        <f t="shared" si="12"/>
        <v>2026</v>
      </c>
      <c r="B369" s="11" t="str">
        <f t="shared" si="13"/>
        <v>July</v>
      </c>
      <c r="C369" s="12">
        <v>46232</v>
      </c>
      <c r="D369" s="8">
        <v>4411</v>
      </c>
      <c r="E369" s="7" cm="1">
        <f t="array" ref="E369">_xlfn.XMATCH(F369&amp;G369&amp;H369, _xlfn.UNIQUE(F$2:F$369 &amp; G$2:G$369 &amp; H$2:H$369))</f>
        <v>231</v>
      </c>
      <c r="F369" s="8" t="s">
        <v>542</v>
      </c>
      <c r="G369" s="8" t="s">
        <v>1271</v>
      </c>
      <c r="H369" s="8" t="s">
        <v>37</v>
      </c>
      <c r="I369" s="8" t="s">
        <v>1272</v>
      </c>
      <c r="J369" s="7"/>
      <c r="K369" s="8" t="s">
        <v>809</v>
      </c>
      <c r="L369" s="8" t="s">
        <v>343</v>
      </c>
      <c r="M369" s="8"/>
      <c r="N369" s="16" t="s">
        <v>1273</v>
      </c>
      <c r="O369" s="13">
        <v>400000</v>
      </c>
      <c r="P369" s="6">
        <v>400000</v>
      </c>
      <c r="Q369" s="7">
        <v>0</v>
      </c>
      <c r="R369" s="8" t="s">
        <v>1265</v>
      </c>
      <c r="S369" s="9" t="s">
        <v>839</v>
      </c>
    </row>
  </sheetData>
  <conditionalFormatting sqref="A354:D354 F354:M354 O354:R354 I355 N355">
    <cfRule type="expression" dxfId="48" priority="7">
      <formula>AND($N355="",$F354&lt;&gt;"")</formula>
    </cfRule>
  </conditionalFormatting>
  <conditionalFormatting sqref="A355:D355 F355:H355 J355:M355">
    <cfRule type="expression" dxfId="47" priority="8">
      <formula>AND(#REF!="",$F355&lt;&gt;"")</formula>
    </cfRule>
  </conditionalFormatting>
  <conditionalFormatting sqref="C157:D157 F157:M157 O157:R157">
    <cfRule type="expression" dxfId="46" priority="4">
      <formula>AND($N176="",$F157&lt;&gt;"")</formula>
    </cfRule>
  </conditionalFormatting>
  <conditionalFormatting sqref="C176:D176 F176:M176 M177:M179">
    <cfRule type="expression" dxfId="45" priority="2">
      <formula>AND(#REF!="",$F176&lt;&gt;"")</formula>
    </cfRule>
  </conditionalFormatting>
  <conditionalFormatting sqref="C2:R2 A2:B269 F3:R17 C3:D156 E3:E365 F18:M18 O18:R18 F19:R55 G56:R56 F57:R118 F119:I119 K119:R119 F120:R156 C158:D175 F158:R175 O176:R176 F177:L179 N177:R179 C177:D183 F180:R183 C186:D194 F186:R196 C195:C269 D195:D353 F197:Q197 F198:R221 N222:R238 F222:M240 N239:Q239 N240:R240 F241:R284 A270:C353 G285:R285 F286:R293 F294:J294 L294:R294 F295:R342 F343:H343 K343:R343 F344:R345 F346:H346 J346:R346 F347:R350 H351:M351 O351:R351 F352:R353 O355:R355 F356:Q356 A356:D365 F357:R358 F359:M359 O359:R359 F360:R365 A366:R369">
    <cfRule type="expression" dxfId="44" priority="3">
      <formula>AND($N2="",$F2&lt;&gt;"")</formula>
    </cfRule>
  </conditionalFormatting>
  <conditionalFormatting sqref="N176">
    <cfRule type="expression" dxfId="43" priority="5">
      <formula>AND($N176="",$F157&lt;&gt;"")</formula>
    </cfRule>
    <cfRule type="expression" dxfId="42" priority="6">
      <formula>AND(#REF!="",$F176&lt;&gt;"")</formula>
    </cfRule>
  </conditionalFormatting>
  <conditionalFormatting sqref="N355">
    <cfRule type="expression" dxfId="41" priority="9">
      <formula>AND($N355="",$F354&lt;&gt;"")</formula>
    </cfRule>
  </conditionalFormatting>
  <conditionalFormatting sqref="R356">
    <cfRule type="expression" dxfId="40" priority="1">
      <formula>AND($N357="",$F356&lt;&gt;"")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2026-09-03T11:22:20Z</dcterms:created>
  <dcterms:modified xsi:type="dcterms:W3CDTF">2026-09-03T11:22:29Z</dcterms:modified>
</cp:coreProperties>
</file>